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truptiparate/Documents/DI Masters/Future industry in a Box/Research/Verification/"/>
    </mc:Choice>
  </mc:AlternateContent>
  <xr:revisionPtr revIDLastSave="0" documentId="13_ncr:1_{99099526-F4FB-2445-8A40-A4DE947BB781}" xr6:coauthVersionLast="47" xr6:coauthVersionMax="47" xr10:uidLastSave="{00000000-0000-0000-0000-000000000000}"/>
  <bookViews>
    <workbookView xWindow="0" yWindow="660" windowWidth="29400" windowHeight="18460" activeTab="10" xr2:uid="{7B3EEBCE-01B7-4D48-A717-8609B3CFB3BF}"/>
  </bookViews>
  <sheets>
    <sheet name="Master Directory" sheetId="2" r:id="rId1"/>
    <sheet name="FIB-001" sheetId="17" r:id="rId2"/>
    <sheet name="FIB-002" sheetId="3" r:id="rId3"/>
    <sheet name="FIB-003" sheetId="4" r:id="rId4"/>
    <sheet name="FIB-004" sheetId="5" r:id="rId5"/>
    <sheet name="FIB-005" sheetId="6" r:id="rId6"/>
    <sheet name="FIB-006" sheetId="7" r:id="rId7"/>
    <sheet name="FIB-007" sheetId="8" r:id="rId8"/>
    <sheet name="FIB-008" sheetId="9" r:id="rId9"/>
    <sheet name="FIB-009" sheetId="10" r:id="rId10"/>
    <sheet name="FIB-010" sheetId="11" r:id="rId11"/>
    <sheet name="FIB-011" sheetId="12" r:id="rId12"/>
    <sheet name="Sheet-013" sheetId="13" r:id="rId13"/>
    <sheet name="FIB-014" sheetId="14" r:id="rId14"/>
    <sheet name="FIB-015"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5" i="17" l="1"/>
  <c r="H86" i="17"/>
  <c r="H87" i="17"/>
  <c r="H88" i="17"/>
  <c r="H89" i="17"/>
  <c r="H90" i="17"/>
  <c r="H84" i="17"/>
</calcChain>
</file>

<file path=xl/sharedStrings.xml><?xml version="1.0" encoding="utf-8"?>
<sst xmlns="http://schemas.openxmlformats.org/spreadsheetml/2006/main" count="5368" uniqueCount="1917">
  <si>
    <t>Sustainability — Does it help farmers, the environment, or society? (5- helps a lot, 1 - is bad for them)</t>
  </si>
  <si>
    <t>Feasibility — Is it realistic and practical to actually pull off? (5- easy, 1- challenging)</t>
  </si>
  <si>
    <t>Speed — Can we do this quickly, or does it take years? (5-fast, 1-slow, will take years)</t>
  </si>
  <si>
    <t>Resilience gain — Does it actually fix the underlying problem so it won't happen again? (5 - good, 1-bad)</t>
  </si>
  <si>
    <t>Overall</t>
  </si>
  <si>
    <t>Sustainability</t>
  </si>
  <si>
    <t>Speed</t>
  </si>
  <si>
    <t>Feasibility</t>
  </si>
  <si>
    <t>Resilience Gain</t>
  </si>
  <si>
    <t>Cost</t>
  </si>
  <si>
    <t>Decision</t>
  </si>
  <si>
    <t>Cost impact — Does this decision save a lot of money, or is it expensive to do? (5- cheap, 1-expensive)</t>
  </si>
  <si>
    <t>Overall (Average)</t>
  </si>
  <si>
    <t>Speed of implementation</t>
  </si>
  <si>
    <t>Resilience gain</t>
  </si>
  <si>
    <t>Decision Analysis Score - Self Analyses</t>
  </si>
  <si>
    <t>Low</t>
  </si>
  <si>
    <t>Very Low</t>
  </si>
  <si>
    <t>Medium</t>
  </si>
  <si>
    <t>Very High</t>
  </si>
  <si>
    <t>Neutral</t>
  </si>
  <si>
    <t>High</t>
  </si>
  <si>
    <t>Normal</t>
  </si>
  <si>
    <t>Circular Economy</t>
  </si>
  <si>
    <t>Customer Satisfaction</t>
  </si>
  <si>
    <t>Quality</t>
  </si>
  <si>
    <t>Risk</t>
  </si>
  <si>
    <t>CO₂ Impact</t>
  </si>
  <si>
    <t>Lead Time</t>
  </si>
  <si>
    <t>Scenario</t>
  </si>
  <si>
    <t>KPI Change Summary - Self Analyses</t>
  </si>
  <si>
    <t>Decisions Impact Summary</t>
  </si>
  <si>
    <t xml:space="preserve">Decisions Impact Summary - </t>
  </si>
  <si>
    <t>Best when</t>
  </si>
  <si>
    <t>Customer satisfaction</t>
  </si>
  <si>
    <t>CO2 Impact</t>
  </si>
  <si>
    <t>Action</t>
  </si>
  <si>
    <t>Description</t>
  </si>
  <si>
    <t xml:space="preserve">1
</t>
  </si>
  <si>
    <t>Decision No</t>
  </si>
  <si>
    <t>Decision Analysis  (Self Analysis)</t>
  </si>
  <si>
    <t>Decision Analysis by the Company</t>
  </si>
  <si>
    <t>Results after intregration of technology/solution/system</t>
  </si>
  <si>
    <t>Effect on supply chain</t>
  </si>
  <si>
    <t>Effect on Supply chain</t>
  </si>
  <si>
    <t>How to integrated the solution/system/technology and affected nodes</t>
  </si>
  <si>
    <t>Affected nodes</t>
  </si>
  <si>
    <t>Proposed Solutions</t>
  </si>
  <si>
    <t>Root cause details</t>
  </si>
  <si>
    <t>Problem (Root Cause)</t>
  </si>
  <si>
    <t>Trigger event</t>
  </si>
  <si>
    <t>Integration details</t>
  </si>
  <si>
    <t>Disruption details</t>
  </si>
  <si>
    <t>Integration steps</t>
  </si>
  <si>
    <t>Disruption State 1</t>
  </si>
  <si>
    <t>Waste</t>
  </si>
  <si>
    <t>Value</t>
  </si>
  <si>
    <t>KPI</t>
  </si>
  <si>
    <t>Normal KPI Conditions</t>
  </si>
  <si>
    <t>Node 3 – Logistics &amp; Export</t>
  </si>
  <si>
    <t>Node</t>
  </si>
  <si>
    <t>Process</t>
  </si>
  <si>
    <t>Step</t>
  </si>
  <si>
    <t>Normal Flow</t>
  </si>
  <si>
    <t>Baseline Operations (Normal Flow)</t>
  </si>
  <si>
    <t>Normal State</t>
  </si>
  <si>
    <t>Scale</t>
  </si>
  <si>
    <t>Brand &amp; Group</t>
  </si>
  <si>
    <t>Industry Verticle</t>
  </si>
  <si>
    <t>Use case Name</t>
  </si>
  <si>
    <t>Use case ID</t>
  </si>
  <si>
    <t>Use Case ID</t>
  </si>
  <si>
    <t>Target Industry</t>
  </si>
  <si>
    <t>Scenario Name</t>
  </si>
  <si>
    <t>Primary Impacted Nodes</t>
  </si>
  <si>
    <t>Disruption Trigger</t>
  </si>
  <si>
    <t>Global Impact</t>
  </si>
  <si>
    <t>Reason to choose this case study</t>
  </si>
  <si>
    <t>Assignee</t>
  </si>
  <si>
    <t>Status</t>
  </si>
  <si>
    <t>FIB-001</t>
  </si>
  <si>
    <t>Supplier</t>
  </si>
  <si>
    <t>FIB-002</t>
  </si>
  <si>
    <t>ongoing</t>
  </si>
  <si>
    <t>FIB-003</t>
  </si>
  <si>
    <t>FIB-004</t>
  </si>
  <si>
    <t>FIB-005</t>
  </si>
  <si>
    <t>Radio Frequency Chips Manufacturing</t>
  </si>
  <si>
    <t>2000 lightning struck a power line near Albuquerque, New Mexico. The resulting power surge knocked out a Royal Philips Electronics semiconductor plant</t>
  </si>
  <si>
    <t xml:space="preserve">B2B Supply, Supplier, </t>
  </si>
  <si>
    <t>Philips Albuquerque fire and its divergent impact on Nokia and Ericsson</t>
  </si>
  <si>
    <t>Vedang</t>
  </si>
  <si>
    <t>Textile Industry</t>
  </si>
  <si>
    <t xml:space="preserve">Rolled out item‑level RFID across stores and tightly coupled design‑to‑shelf cycles </t>
  </si>
  <si>
    <t>Stores, Distribution Centers, Manufactures, Planning, Design, Vendors</t>
  </si>
  <si>
    <t>Fast fashion needs near‑real‑time inventory accuracy and rapid replenishment.</t>
  </si>
  <si>
    <t>Automotive / Energy (EVs + energy storage)</t>
  </si>
  <si>
    <t>Tesla, Inc. — Vertical integration + software-defined, AI-driven supply chain</t>
  </si>
  <si>
    <t>Raw Material, Battary Cells, Camponents, Gigafactries, Customer, Software, Charging, sell</t>
  </si>
  <si>
    <t>Tesla reverses the traditional outsource-by-default model — it OWNS the critical layers (batteries, software, silicon, charging, sales), controlling ~80% of its supply chain.</t>
  </si>
  <si>
    <t xml:space="preserve">Vedang </t>
  </si>
  <si>
    <t>Ongoing</t>
  </si>
  <si>
    <t>Aviation / Air Transport (Low-Cost Carrier)</t>
  </si>
  <si>
    <t>Ryanair — Ultra-low-cost service supply chain &amp; operations</t>
  </si>
  <si>
    <t>Aircraft/Engine Procurement, Fleet, Fuel, Airports/Ground Ops, Flight Ops, MRO, Distribution, Ancillary</t>
  </si>
  <si>
    <t>Boeing single-supplier dependency + fuel/ATC volatility in a razor-thin-margin service model</t>
  </si>
  <si>
    <t>Philips Albuquerque RF-Chip Fire (2000) — Nokia vs. Ericsson</t>
  </si>
  <si>
    <t>Electronics &amp; Semiconductors; Telecom / Mobile Handsets</t>
  </si>
  <si>
    <t>Supplier: Royal Philips Electronics (Fab 22). Customers: Nokia &amp; Ericsson.</t>
  </si>
  <si>
    <t>Plant served ~30 customers; Nokia &amp; Ericsson together ~40% of output. In 2000 Nokia was #1 handset maker (~30.6% share), Ericsson #3 (~9.7%).</t>
  </si>
  <si>
    <t>Node 1 – Supplier (Philips)</t>
  </si>
  <si>
    <t>Node 2 – Manufacturer (Nokia &amp; Ericsson)</t>
  </si>
  <si>
    <t>Node 4 – Customers</t>
  </si>
  <si>
    <t>Royal Philips RF/ASIC chip fab (Fab 22), Albuquerque, New Mexico; single/critical source for handset RF chips.</t>
  </si>
  <si>
    <t>Nordic handset OEMs integrating Philips RF chips into mobile phones; lean/JIT inbound, low buffers.</t>
  </si>
  <si>
    <t>Chips shipped from New Mexico to European/Asian assembly; near-JIT, minimal safety stock.</t>
  </si>
  <si>
    <t>Mobile operators, retailers and consumers in the booming 2000 GSM market; short product cycles.</t>
  </si>
  <si>
    <t>Philips fabricates RF/ASIC chips in clean-room lines</t>
  </si>
  <si>
    <t>Chips shipped to Nokia &amp; Ericsson (lean/JIT inbound)</t>
  </si>
  <si>
    <t>Handset assembly integrates chips into phones</t>
  </si>
  <si>
    <t>Phones distributed via operators/retailers to consumers</t>
  </si>
  <si>
    <t>Logistics</t>
  </si>
  <si>
    <t>Manufacturer</t>
  </si>
  <si>
    <t>Customer</t>
  </si>
  <si>
    <t>High-value, high-margin custom RF/ASIC chips; Philips' own loss from the fire ~$40M.</t>
  </si>
  <si>
    <t>Weeks (semiconductor cycle); lean/JIT inbound, no buffer; Ericsson single-sourced.</t>
  </si>
  <si>
    <t>High (semiconductor fabrication energy/water intensive) – industry norm, not case data.</t>
  </si>
  <si>
    <t>Clean-room dependency: any contamination = total stock loss (as the fire showed).</t>
  </si>
  <si>
    <t>High pre-fire (reliable, trusted primary source).</t>
  </si>
  <si>
    <t>HIGH but unrecognised: single-plant concentration, single-sourcing, no contingency, slow escalation.</t>
  </si>
  <si>
    <t>Very high (clean-room ~1 particle/m3; custom ASIC, no drop-in substitute).</t>
  </si>
  <si>
    <t>Not tracked for a 2000 semiconductor fab.</t>
  </si>
  <si>
    <t>Low (minimal chip reuse/recycling in 2000).</t>
  </si>
  <si>
    <t>17 Mar 2000: lightning strike/power surge ignited a fire in a Philips Albuquerque clean room; extinguished in ~10 min.</t>
  </si>
  <si>
    <t>Smoke/soot/water contaminated the clean room, destroying almost the entire RF-chip stock. Customer-side: Ericsson single-sourcing, lean/JIT, single-plant concentration, slow escalation. Philips first estimated ~1 week recovery; actual recovery took months.</t>
  </si>
  <si>
    <t>Supplier (Philips: production halted, stock lost); Manufacturer (Nokia &amp; Ericsson chip supply cut; Ericsson ~7M-phone shortfall); Logistics (inbound severed); Customer (delayed shipments, T36 launch delay).</t>
  </si>
  <si>
    <t>Nokia: minor delays (early detection + re-sourcing). Ericsson: ~$400M direct loss, ~7M-phone shortfall, lost market share, exit from standalone handsets (Sony Ericsson JV, Oct 2001). Philips: ~$40M loss; plant closed 2003.</t>
  </si>
  <si>
    <t>Escalate + priority (Nokia)</t>
  </si>
  <si>
    <t>Watch supplier, daily updates, CEO-level</t>
  </si>
  <si>
    <t>Improved</t>
  </si>
  <si>
    <t>Reduced</t>
  </si>
  <si>
    <t>Protected</t>
  </si>
  <si>
    <t>n/a</t>
  </si>
  <si>
    <t>Buyer leverage + early detection</t>
  </si>
  <si>
    <t>Engineers on-site (Nokia)</t>
  </si>
  <si>
    <t>Deploy staff to speed supplier restart</t>
  </si>
  <si>
    <t>Low- Medium</t>
  </si>
  <si>
    <t>Bottelneck is supplier recovery</t>
  </si>
  <si>
    <t>Alternate Plants</t>
  </si>
  <si>
    <t>Reschedule Philips' other fabs</t>
  </si>
  <si>
    <t>Supplier multi-site &amp; prioritises you</t>
  </si>
  <si>
    <t xml:space="preserve">Re-engineer / multi-source </t>
  </si>
  <si>
    <t>Lock up global capacity (Nokia)</t>
  </si>
  <si>
    <t>Redesign to accept US/Japanese chips</t>
  </si>
  <si>
    <t>Medium-High</t>
  </si>
  <si>
    <t>Design modularity + qualified alts</t>
  </si>
  <si>
    <t>Contract spare market capacity first</t>
  </si>
  <si>
    <t>Move first + capital</t>
  </si>
  <si>
    <t>Decision Analysis by the Company: Nokia</t>
  </si>
  <si>
    <t>Decision Analysis  by Company: Ericsson</t>
  </si>
  <si>
    <t>Wait-and-see</t>
  </si>
  <si>
    <t>Scale own mfg</t>
  </si>
  <si>
    <t>Insurance / BI claim</t>
  </si>
  <si>
    <t xml:space="preserve">Institutionalise SCRM </t>
  </si>
  <si>
    <t xml:space="preserve">Restructure / JV </t>
  </si>
  <si>
    <t>Accept Philips' 1-wk estimate; no mitigation</t>
  </si>
  <si>
    <t>Ramp Sweden production</t>
  </si>
  <si>
    <t>Recover losses via insurance</t>
  </si>
  <si>
    <t>Supplier BCP, sub-tier mapping, monitoring</t>
  </si>
  <si>
    <t>Outsource (Flextronics), Sony Ericsson JV</t>
  </si>
  <si>
    <t>Very Poor</t>
  </si>
  <si>
    <t>Maintained</t>
  </si>
  <si>
    <t>Only if outage short + buffers exist</t>
  </si>
  <si>
    <t>Slow</t>
  </si>
  <si>
    <t>Uncertain/Low</t>
  </si>
  <si>
    <t>Latent capacity + time</t>
  </si>
  <si>
    <t>Financial Only</t>
  </si>
  <si>
    <t>Not Helped</t>
  </si>
  <si>
    <t>Pair with operational fix</t>
  </si>
  <si>
    <t>Long</t>
  </si>
  <si>
    <t>Structirally Redcued</t>
  </si>
  <si>
    <t>Long-term</t>
  </si>
  <si>
    <t>After shock exposes fragility</t>
  </si>
  <si>
    <t>Structural fragility needs structural fix</t>
  </si>
  <si>
    <t>Recover</t>
  </si>
  <si>
    <t>D1 Wait-and-see</t>
  </si>
  <si>
    <t>Very High (real)</t>
  </si>
  <si>
    <t>D2 Escalate+priority</t>
  </si>
  <si>
    <t>D4 Alternate plants</t>
  </si>
  <si>
    <t>Med</t>
  </si>
  <si>
    <t>Slt.Neg</t>
  </si>
  <si>
    <t>D5 Re-engineer/multi-source</t>
  </si>
  <si>
    <t>Med-High</t>
  </si>
  <si>
    <t>D6 Lock up capacity</t>
  </si>
  <si>
    <t>Best</t>
  </si>
  <si>
    <t>D7 Scale own mfg</t>
  </si>
  <si>
    <t>Uncertain</t>
  </si>
  <si>
    <t>D9 Institutionalise SCRM</t>
  </si>
  <si>
    <t>D10 Restructure/JV</t>
  </si>
  <si>
    <t>Recovers</t>
  </si>
  <si>
    <t>Normal (pre-fire)</t>
  </si>
  <si>
    <t>Weeks</t>
  </si>
  <si>
    <t>High (unrecog.)</t>
  </si>
  <si>
    <t>Not tracked</t>
  </si>
  <si>
    <t>Slow (Ericsson)</t>
  </si>
  <si>
    <t>Disruption (fire)</t>
  </si>
  <si>
    <t>Months</t>
  </si>
  <si>
    <t>Realised</t>
  </si>
  <si>
    <t>Volume collapse</t>
  </si>
  <si>
    <t>Weeks (Ericsson)</t>
  </si>
  <si>
    <t>Recovery — Nokia</t>
  </si>
  <si>
    <t>~3 days</t>
  </si>
  <si>
    <t>Upgrade — Ericsson SCRM</t>
  </si>
  <si>
    <t>Robust</t>
  </si>
  <si>
    <t>Structurally ↓</t>
  </si>
  <si>
    <t>Monitored</t>
  </si>
  <si>
    <t>Single-scouce</t>
  </si>
  <si>
    <t>100% (Ericsson)</t>
  </si>
  <si>
    <t>Exposed</t>
  </si>
  <si>
    <t>Multi-Scourced</t>
  </si>
  <si>
    <t>D2 Escalate + priority</t>
  </si>
  <si>
    <t>D5 Re-engineer / multi-source</t>
  </si>
  <si>
    <t>D6 Lock up global capacity</t>
  </si>
  <si>
    <t>D10 Restructure / Sony Ericsson JV</t>
  </si>
  <si>
    <t>Zara (Inditex) — item-level RFID + AI demand/allocation across the full digital stack</t>
  </si>
  <si>
    <t>Retail / Apparel — Fast Fashion</t>
  </si>
  <si>
    <t>Zara is the flagship BRAND; Inditex (Industria de Diseño Textil, S.A.) is the listed PARENT GROUP.</t>
  </si>
  <si>
    <t>Group sales €38.6bn (+7.5%); 5,563 stores; Zara &gt;70% of group sales; ~840M+ garments RFID-tagged/yr.</t>
  </si>
  <si>
    <t>Node 1 – Fabric / raw-material suppliers</t>
  </si>
  <si>
    <t>Grey/undyed fabric procured and held.</t>
  </si>
  <si>
    <t>Node 2 – Garment Manufacturing &amp; Deying &amp; Finishing</t>
  </si>
  <si>
    <t>Fabric dyed/finished AFTER production begins. ~50–60% proximity (Spain/Portugal/Morocco/Turkey) + Asia; small batch.</t>
  </si>
  <si>
    <t>Node 3 – Distribution Centers</t>
  </si>
  <si>
    <t>Arteixo/Zaragoza hubs; twice-weekly shipments; RFID encoding origin.</t>
  </si>
  <si>
    <t>Twice-weekly collections; store-manager feedback loop.</t>
  </si>
  <si>
    <t>Stores + online + app across 200+ markets.</t>
  </si>
  <si>
    <t>Designers convert live feedback + trends into new designs.</t>
  </si>
  <si>
    <t>Node 4 – Stores (~5,500 group)</t>
  </si>
  <si>
    <t>Node 5 – Customer / omnichannel</t>
  </si>
  <si>
    <t>Node 6 – Design / HQ (Arteixo)</t>
  </si>
  <si>
    <t>Node 7 – Returns / reverse logistics</t>
  </si>
  <si>
    <t>Returns reprocessed and reallocated.</t>
  </si>
  <si>
    <t>Trend capture &amp; design (store feedback + trends)</t>
  </si>
  <si>
    <t>Fabric sourcing (grey fabric held)</t>
  </si>
  <si>
    <t>Postponed dyeing/finishing to live demand</t>
  </si>
  <si>
    <t>Small-batch cut-make-trim</t>
  </si>
  <si>
    <t>RFID encoding + QC + sortation</t>
  </si>
  <si>
    <t>Twice-weekly consolidated shipment</t>
  </si>
  <si>
    <t>Store receiving (RFID) &amp; floor replenishment</t>
  </si>
  <si>
    <t>Sale at POS (RFID read, tag recirculated)</t>
  </si>
  <si>
    <t>Store-manager feedback loop to design</t>
  </si>
  <si>
    <t>Omnichannel fulfilment (ship-from-store)</t>
  </si>
  <si>
    <t>Returns processing &amp; reallocation</t>
  </si>
  <si>
    <t>Design / HQ</t>
  </si>
  <si>
    <t>Suppliers</t>
  </si>
  <si>
    <t>Dyeing/finishing</t>
  </si>
  <si>
    <t>Manufacturing</t>
  </si>
  <si>
    <t>Logistics / DC</t>
  </si>
  <si>
    <t>Store</t>
  </si>
  <si>
    <t>Store / Customer</t>
  </si>
  <si>
    <t>Store → Design</t>
  </si>
  <si>
    <t>Reverse logistics</t>
  </si>
  <si>
    <t>Markdown rate</t>
  </si>
  <si>
    <t>Stock-count labour</t>
  </si>
  <si>
    <t>Proximity premium on unit cost, offset by fewer markdowns/faster turns.</t>
  </si>
  <si>
    <t>~2–3 weeks design-to-store vs 6–9 months industry norm.</t>
  </si>
  <si>
    <t>~15–20% of inventory vs 30–40% industry average.</t>
  </si>
  <si>
    <t>40 staff × 5h twice a year → 10 staff in half the time.</t>
  </si>
  <si>
    <t>High (fast-fashion volume; proximity trims transport only).</t>
  </si>
  <si>
    <t>Medium; lower after RFID cut misallocation.</t>
  </si>
  <si>
    <t>High on novelty/price; improved by availability.</t>
  </si>
  <si>
    <t>Medium — Spain-centric DC concentration; eased by omnichannel.</t>
  </si>
  <si>
    <t>High/consistent (vertical control).</t>
  </si>
  <si>
    <t>Medium-Low (proximity + Join Life; Epoch Biodesign early).</t>
  </si>
  <si>
    <t>Low, early improvement (reusable tag; recycling R&amp;D).</t>
  </si>
  <si>
    <t xml:space="preserve">Inventory accuracy </t>
  </si>
  <si>
    <t>Technology</t>
  </si>
  <si>
    <t>How it is used / purpose</t>
  </si>
  <si>
    <t>Item-level RFID (UHF/RAIN, EPC Gen2)</t>
  </si>
  <si>
    <t>Chip in reusable EAS security tag (100+ reuses); read at DC/receiving/floor/POS.</t>
  </si>
  <si>
    <t>Inditex Open Platform (IOP)</t>
  </si>
  <si>
    <t>In-house integration layer unifying design/purchasing/distribution/inventory/orders.</t>
  </si>
  <si>
    <t>AI demand forecasting (Jetlore)</t>
  </si>
  <si>
    <t>Maps size/colour/fit/style preferences into predictive attributes.</t>
  </si>
  <si>
    <t>AI allocation &amp; markdown optimisation</t>
  </si>
  <si>
    <t>Assortment per store; clearance pricing (Caro &amp; Gallien).</t>
  </si>
  <si>
    <t>Digital twin of the business</t>
  </si>
  <si>
    <t>Every garment/store/transaction a data point feeding AI.</t>
  </si>
  <si>
    <t>Omnichannel platform (Store Mode)</t>
  </si>
  <si>
    <t>Single stock pool; ship-from-store; in-app stock/location.</t>
  </si>
  <si>
    <t>Store-level data blindness (~65% accuracy) limiting availability, omnichannel and AI.</t>
  </si>
  <si>
    <t>Wave 1: item-level RFID (reusable security tag). Wave 2: AI demand forecasting/allocation/markdown on the RFID data.</t>
  </si>
  <si>
    <t>Item-level real-time visibility; reliable omnichannel; a digital twin of the business enabling AI.</t>
  </si>
  <si>
    <t>Structural: responsiveness leaked margin because store inventory accuracy was only ~65%. COVID-2020 (88% of stores shut) sharpened it.</t>
  </si>
  <si>
    <t>Item-level RFID (reusable tag)</t>
  </si>
  <si>
    <t>AI demand forecasting</t>
  </si>
  <si>
    <t>AI allocation &amp; replenishment</t>
  </si>
  <si>
    <t>Omnichannel platform</t>
  </si>
  <si>
    <t>Markdown optimisation</t>
  </si>
  <si>
    <t>Digital-twin data model</t>
  </si>
  <si>
    <t>Digitised feedback loop</t>
  </si>
  <si>
    <t>Logistics/nearshoring expansion</t>
  </si>
  <si>
    <t>Proximity + postponement</t>
  </si>
  <si>
    <t>AI circularity (Epoch Biodesign)</t>
  </si>
  <si>
    <t>Chip in reusable EAS tag; read DC/floor/POS</t>
  </si>
  <si>
    <t>ML on live sales + feedback + signals</t>
  </si>
  <si>
    <t>Assortment/size per store, twice-weekly</t>
  </si>
  <si>
    <t>Single stock pool; ship-from-store</t>
  </si>
  <si>
    <t>ML discount timing/depth</t>
  </si>
  <si>
    <t>Every garment/store/txn a data point</t>
  </si>
  <si>
    <t>Live store signals into design/planning</t>
  </si>
  <si>
    <t>€900m/yr; Zaragoza II DC</t>
  </si>
  <si>
    <t>50–60% near-shore, dye-late, small batch</t>
  </si>
  <si>
    <t>AI enzymes recycling mixed textiles</t>
  </si>
  <si>
    <t>High capex/low TCO</t>
  </si>
  <si>
    <t>Low-Med</t>
  </si>
  <si>
    <t>Higher unit/low total</t>
  </si>
  <si>
    <t>High/early</t>
  </si>
  <si>
    <t>Strategic</t>
  </si>
  <si>
    <t>R&amp;D</t>
  </si>
  <si>
    <t>TBD</t>
  </si>
  <si>
    <t>Reputational</t>
  </si>
  <si>
    <t>Mixed</t>
  </si>
  <si>
    <t>Accuracy is the binding constraint</t>
  </si>
  <si>
    <t>Clean data exists (after RFID)</t>
  </si>
  <si>
    <t>Many stores, heterogeneous demand</t>
  </si>
  <si>
    <t>Online material + accuracy solved</t>
  </si>
  <si>
    <t>Seasonal markdown exposure</t>
  </si>
  <si>
    <t>After years of clean data</t>
  </si>
  <si>
    <t>Front-line signal is core edge</t>
  </si>
  <si>
    <t>Growth outpaces DC capacity</t>
  </si>
  <si>
    <t>Responsiveness beats lowest cost</t>
  </si>
  <si>
    <t>Textile-waste pressure rises</t>
  </si>
  <si>
    <t>ReducedReduced</t>
  </si>
  <si>
    <t>Reduced(pot.)</t>
  </si>
  <si>
    <t>D1 RFID</t>
  </si>
  <si>
    <t>D2 AI forecasting</t>
  </si>
  <si>
    <t>D3 AI allocation</t>
  </si>
  <si>
    <t>D4 Omnichannel</t>
  </si>
  <si>
    <t>D5 Markdown opt.</t>
  </si>
  <si>
    <t>D6 Digital twin</t>
  </si>
  <si>
    <t>D7 Proximity+postpone</t>
  </si>
  <si>
    <t>D8 AI circularity</t>
  </si>
  <si>
    <t>Normal (pre-digital)</t>
  </si>
  <si>
    <t>~65%</t>
  </si>
  <si>
    <t>2–3 wks</t>
  </si>
  <si>
    <t>15–20%</t>
  </si>
  <si>
    <t>High w/ gaps</t>
  </si>
  <si>
    <t>Med-Low</t>
  </si>
  <si>
    <t>Disruption (COVID-2020)</t>
  </si>
  <si>
    <t>Higher</t>
  </si>
  <si>
    <t>High (unsold)</t>
  </si>
  <si>
    <t>Low (shut)</t>
  </si>
  <si>
    <t>Digitalised (post-RFID/AI)</t>
  </si>
  <si>
    <t>~99%</t>
  </si>
  <si>
    <t>2–3 wks + sensing</t>
  </si>
  <si>
    <t>Lower</t>
  </si>
  <si>
    <t>Inv. accuracy</t>
  </si>
  <si>
    <t>Low, early gains</t>
  </si>
  <si>
    <t>Item-level RFID</t>
  </si>
  <si>
    <t>AI allocation</t>
  </si>
  <si>
    <t>AI circularity (Epoch)</t>
  </si>
  <si>
    <t>Tesla — vertical integration + software-defined, AI-driven supply chain</t>
  </si>
  <si>
    <t>2023: 1.85M produced (+35%), 1.81M delivered (+38%); Q4-2024 record ~495,570 delivered; 11.0 GWh storage Q4-2024.</t>
  </si>
  <si>
    <t>Tesla, Inc. — deep but SELECTIVE vertical integrator (~80% of supply chain controlled).</t>
  </si>
  <si>
    <t>Node 1 – Raw materials</t>
  </si>
  <si>
    <t>Node 2 – Battery cells</t>
  </si>
  <si>
    <t>Node 3 – Components</t>
  </si>
  <si>
    <t>Node 4 – Manufacturing</t>
  </si>
  <si>
    <t>Node 5 – Vehicle software</t>
  </si>
  <si>
    <t>Node 6 – Distribution &amp; sales</t>
  </si>
  <si>
    <t>Node 7 – Charging / energy</t>
  </si>
  <si>
    <t>Node 8 – Fleet / after-sales</t>
  </si>
  <si>
    <t>Drive units, power electronics, BMS designed &amp; built in-house.</t>
  </si>
  <si>
    <t>Gigafactories co-locate cells/packs/assembly; Gigacasting; software-defined lines.</t>
  </si>
  <si>
    <t>Lithium/nickel via long-term contracts (Australia, Chile); cobalt reduction; planned in-house refining.</t>
  </si>
  <si>
    <t>In-house 4680 cells + cathode at Gigafactories (+ Panasonic/CATL/LG).</t>
  </si>
  <si>
    <t>Own OS, ADAS/FSD, OTA updates — the software-defined vehicle.</t>
  </si>
  <si>
    <t>Direct-to-consumer via web &amp; company-owned stores (no dealers).</t>
  </si>
  <si>
    <t>Proprietary Supercharger network; energy storage.</t>
  </si>
  <si>
    <t>OTA + fleet telemetry feed a closed loop back to design/production.</t>
  </si>
  <si>
    <t>Secure raw materials (long-term contracts)</t>
  </si>
  <si>
    <t>Produce 4680 cells + cathode in-house</t>
  </si>
  <si>
    <t>Build drive units / power electronics / BMS</t>
  </si>
  <si>
    <t>Gigacast underbodies</t>
  </si>
  <si>
    <t>Software-defined automated assembly (IoT + twins)</t>
  </si>
  <si>
    <t>Flash vehicle OS/FSD; enable OTA</t>
  </si>
  <si>
    <t>Sell direct-to-consumer; capture demand</t>
  </si>
  <si>
    <t>Connect to Supercharger / energy ecosystem</t>
  </si>
  <si>
    <t>Collect fleet telemetry → design/production</t>
  </si>
  <si>
    <t>Raw materials</t>
  </si>
  <si>
    <t>Battery cells</t>
  </si>
  <si>
    <t>Components</t>
  </si>
  <si>
    <t>Vehicle software</t>
  </si>
  <si>
    <t>Distribution &amp; sales</t>
  </si>
  <si>
    <t>Charging/energy</t>
  </si>
  <si>
    <t>Fleet/after-sales</t>
  </si>
  <si>
    <t>Supply-chain control</t>
  </si>
  <si>
    <t>Manufacturing cost</t>
  </si>
  <si>
    <t>Battery</t>
  </si>
  <si>
    <t>Production scale</t>
  </si>
  <si>
    <t>~80% of supply chain owned/controlled.</t>
  </si>
  <si>
    <t>Integration removes supplier margins; offset by very high capex.</t>
  </si>
  <si>
    <t>Fast design→production→fleet feedback loop (owns the stages).</t>
  </si>
  <si>
    <t>2023: 1.85M built / 1.81M delivered; Q4-2024 record ~495,570.</t>
  </si>
  <si>
    <t>Mixed — EV/energy mission positive; mining &amp; cell mfg energy-intensive.</t>
  </si>
  <si>
    <t>Low-Med (Gigacasting cuts parts/scrap).</t>
  </si>
  <si>
    <t>High (product + OTA + direct experience).</t>
  </si>
  <si>
    <t>Medium — sole-source deps (semis, battery materials); capital/demand risk.</t>
  </si>
  <si>
    <t>High (end-to-end control).</t>
  </si>
  <si>
    <t>Mixed (EV mission vs mining/energy footprint).</t>
  </si>
  <si>
    <t>Medium (battery recycling ties; cobalt reduction).</t>
  </si>
  <si>
    <t>Industry-wide scarcity of automotive-grade chips; traditional OEMs' hardware-locked designs could not substitute chips quickly.</t>
  </si>
  <si>
    <t>Components / Manufacturing (chip-dependent ECUs); production scheduling; Q1-2024 logistics + plant attack.</t>
  </si>
  <si>
    <t>Relatively resilient: Tesla grew production ~83% in 2021 (~509k→~930k) while rivals cut; sole-source deps still bite (days-of-supply jumped to 28 in Q1-2024).</t>
  </si>
  <si>
    <t>Auto industry lost ~$210B / ~7.7M units in 2021 (AlixPartners).</t>
  </si>
  <si>
    <t>Context (industry)</t>
  </si>
  <si>
    <t>Battery cost/supply, slow iteration, and chip/raw-material supply risk under an outsourced model.</t>
  </si>
  <si>
    <t>Own critical layers (4680 cells, drive units, software, silicon, charging) + software-defined, AI-driven manufacturing.</t>
  </si>
  <si>
    <t>Battery Day (2020) in-house cells; Gigafactories; IoT + digital twins; OTA; firmware rewritten to accept alternative chips during the shortage.</t>
  </si>
  <si>
    <t>Software-led resilience; compressed feedback loop; structural cost control across nodes.</t>
  </si>
  <si>
    <t>Maintained output through the chip shortage; 1.85M vehicles (2023); drove industry Gigacasting adoption.</t>
  </si>
  <si>
    <t>Firmware chip substitution</t>
  </si>
  <si>
    <t>In-house 4680 cells</t>
  </si>
  <si>
    <t>Gigacasting</t>
  </si>
  <si>
    <t>Vertical integration (silicon/AI)</t>
  </si>
  <si>
    <t>Long-term raw-material contracts</t>
  </si>
  <si>
    <t>Direct-to-consumer sales</t>
  </si>
  <si>
    <t>Digital twin + AI manufacturing</t>
  </si>
  <si>
    <t>OTA software updates</t>
  </si>
  <si>
    <t>Localise production (Gigafactories)</t>
  </si>
  <si>
    <t>Rewrite software to accept alternative chips</t>
  </si>
  <si>
    <t>Design &amp; build own cells/cathode</t>
  </si>
  <si>
    <t>Single-piece die-cast underbodies</t>
  </si>
  <si>
    <t>Own compute (Dojo), drive units</t>
  </si>
  <si>
    <t>Lithium/nickel supply security</t>
  </si>
  <si>
    <t>Own stores/web; capture demand data</t>
  </si>
  <si>
    <t>IoT + twins + fleet feedback loop</t>
  </si>
  <si>
    <t>Fleet-wide updates &amp; fixes</t>
  </si>
  <si>
    <t>Regional plants (US/CN/DE)</t>
  </si>
  <si>
    <t>Fast</t>
  </si>
  <si>
    <t>You own the software layer</t>
  </si>
  <si>
    <t>Battery is the strategic constraint</t>
  </si>
  <si>
    <t>High-volume standardised platform</t>
  </si>
  <si>
    <t>Component strategically decisive</t>
  </si>
  <si>
    <t>Materials scarce/critical</t>
  </si>
  <si>
    <t>Demand-signal control matters</t>
  </si>
  <si>
    <t>After data infrastructure built</t>
  </si>
  <si>
    <t>Software-defined vehicle</t>
  </si>
  <si>
    <t>Geographic diversification</t>
  </si>
  <si>
    <t>D1 Firmware chip swap</t>
  </si>
  <si>
    <t>D2 In-house 4680</t>
  </si>
  <si>
    <t>D3 Gigacasting</t>
  </si>
  <si>
    <t>D4 Vertical integration</t>
  </si>
  <si>
    <t>D5 Raw-material contracts</t>
  </si>
  <si>
    <t>D6 Direct-to-consumer</t>
  </si>
  <si>
    <t>D7 OTA updates</t>
  </si>
  <si>
    <t>D8 Gigafactory localisation</t>
  </si>
  <si>
    <t>High capex</t>
  </si>
  <si>
    <t>~80%</t>
  </si>
  <si>
    <t>Disruption (chip)</t>
  </si>
  <si>
    <t>Strained</t>
  </si>
  <si>
    <t>Integrated (software-led)</t>
  </si>
  <si>
    <t>Controlled</t>
  </si>
  <si>
    <t>Lower (SW flex)</t>
  </si>
  <si>
    <t>Med (scrap)</t>
  </si>
  <si>
    <t>Direct-to-consumer</t>
  </si>
  <si>
    <t>Raw-material contracts</t>
  </si>
  <si>
    <t>Vertical integration</t>
  </si>
  <si>
    <t>Gigafactory localisation</t>
  </si>
  <si>
    <t>Ryanair — ultra-low-cost carrier supply chain &amp; digital operations</t>
  </si>
  <si>
    <t>Aviation / Air Transport — Low-Cost Carrier (SERVICE supply chain)</t>
  </si>
  <si>
    <t>Ryanair Holdings → Ryanair DAC, Buzz, Malta Air, Lauda Europe (multi-AOC).</t>
  </si>
  <si>
    <t>Node 1 – Aircraft &amp; engine procurement</t>
  </si>
  <si>
    <t>Node 2 – Fleet &amp; asset management</t>
  </si>
  <si>
    <t>Node 3 – Network &amp; schedule planning</t>
  </si>
  <si>
    <t>Node 4 – Fuel procurement &amp; hedging</t>
  </si>
  <si>
    <t>Node 5 – Ground ops &amp; turnaround</t>
  </si>
  <si>
    <t>Node 6 – Flight operations</t>
  </si>
  <si>
    <t>Node 7 – Maintenance / MRO</t>
  </si>
  <si>
    <t>Node 8 – Distribution &amp; ancillary</t>
  </si>
  <si>
    <t>Boeing (737 fleet) + CFM (LEAP-1B engines).</t>
  </si>
  <si>
    <t>Owned, near-debt-free 737 fleet; commonality.</t>
  </si>
  <si>
    <t>Secondary airports; slots; point-to-point.</t>
  </si>
  <si>
    <t>Local fuel + ~80% hedging.</t>
  </si>
  <si>
    <t>Airports &amp; ground handlers; ~25-min turns.</t>
  </si>
  <si>
    <t>Multi-AOC crews.</t>
  </si>
  <si>
    <t>Direct digital sales + ancillary (~34%).</t>
  </si>
  <si>
    <t>Procure aircraft (Boeing) + engines (CFM)</t>
  </si>
  <si>
    <t>Hedge &amp; buy fuel (~80% hedged)</t>
  </si>
  <si>
    <t>Plan network/schedule (secondary airports)</t>
  </si>
  <si>
    <t>Fleet &amp; turnaround operations (~25 min)</t>
  </si>
  <si>
    <t>Flight ops (multi-AOC crews)</t>
  </si>
  <si>
    <t>Ground handling</t>
  </si>
  <si>
    <t>Maintenance / MRO (in-house by 2028)</t>
  </si>
  <si>
    <t>Direct digital sale + dynamic pricing (Brainer)</t>
  </si>
  <si>
    <t>Ancillary services + customer experience</t>
  </si>
  <si>
    <t>Procurement</t>
  </si>
  <si>
    <t>Fuel</t>
  </si>
  <si>
    <t>Planning</t>
  </si>
  <si>
    <t>Fleet/Operations</t>
  </si>
  <si>
    <t>Flight ops</t>
  </si>
  <si>
    <t>Ground ops</t>
  </si>
  <si>
    <t>MRO</t>
  </si>
  <si>
    <t>Distribution</t>
  </si>
  <si>
    <t>Ancillary/Customer</t>
  </si>
  <si>
    <t>Cost (ex-fuel CASK)</t>
  </si>
  <si>
    <t>Operating margin</t>
  </si>
  <si>
    <t>Net profit</t>
  </si>
  <si>
    <t>Asset productivity</t>
  </si>
  <si>
    <t>Load factor</t>
  </si>
  <si>
    <t>Ancillary % of revenue</t>
  </si>
  <si>
    <t>Fuel hedged</t>
  </si>
  <si>
    <t>Quality / safety</t>
  </si>
  <si>
    <t>Medium (no-frills; low fares vs service friction).</t>
  </si>
  <si>
    <t>Medium — near-total Boeing dependency; fuel/ATC volatility.</t>
  </si>
  <si>
    <t>High (dispatch reliability via commonality).</t>
  </si>
  <si>
    <t>Medium (SAF target; net zero 2050; MSCI A).</t>
  </si>
  <si>
    <t>Low (limited in aviation; fleet-renewal efficiency).</t>
  </si>
  <si>
    <t>Best-in-class in Europe.</t>
  </si>
  <si>
    <t>~11.2% (FY2024) vs Lufthansa ~3.9%.</t>
  </si>
  <si>
    <t>€1.92bn FY2024 on 184M passengers (most in Europe).</t>
  </si>
  <si>
    <t>~25-min turnarounds; ~1 extra flight/aircraft/day.</t>
  </si>
  <si>
    <t>~34%.</t>
  </si>
  <si>
    <t>High (aviation), improving: Gamechanger 16% less fuel; SAF 12.5% by 2030.</t>
  </si>
  <si>
    <t>Low (lean ops; high load factor).</t>
  </si>
  <si>
    <t>Cost volatility, Boeing concentration, asset productivity and distribution control in a razor-thin-margin service model.</t>
  </si>
  <si>
    <t>Digital LCC (Ryanair Labs, Brainer, myRyanair) + fuel hedging + fleet commonality + selective vertical integration (in-house MRO; Malta Air EU AOC).</t>
  </si>
  <si>
    <t>Build-not-buy tech; ~80% fuel hedging; standardised 737 ops; Malta Air full ownership (2024); in-house engine overhaul by 2028.</t>
  </si>
  <si>
    <t>Cost certainty, asset productivity, direct customer/data control, structural resilience across nodes.</t>
  </si>
  <si>
    <t>FY2024 record net profit €1.92bn on 184M pax (most in Europe); ~11.2% op margin vs Lufthansa ~3.9%.</t>
  </si>
  <si>
    <t>Single fleet type (737)</t>
  </si>
  <si>
    <t>Fuel hedging ~80%</t>
  </si>
  <si>
    <t>Build-not-buy digital (Labs)</t>
  </si>
  <si>
    <t>In-house MRO (by 2028)</t>
  </si>
  <si>
    <t>Malta Air full ownership (2024)</t>
  </si>
  <si>
    <t>Direct distribution</t>
  </si>
  <si>
    <t>Ancillary-heavy pricing</t>
  </si>
  <si>
    <t>Fleet modernisation (MAX 10)</t>
  </si>
  <si>
    <t>Airbus A321neo diversification</t>
  </si>
  <si>
    <t>Secondary-airport strategy</t>
  </si>
  <si>
    <t>Uniform fleet for commonality</t>
  </si>
  <si>
    <t>Hedge near-term fuel needs</t>
  </si>
  <si>
    <t>In-house platform, ML pricing (Brainer)</t>
  </si>
  <si>
    <t>Own engine overhaul facilities</t>
  </si>
  <si>
    <t>EU AOC / multi-AOC structure</t>
  </si>
  <si>
    <t>Sell via web/app; own data</t>
  </si>
  <si>
    <t>Unbundle; monetise add-ons (~34%)</t>
  </si>
  <si>
    <t>150 firm + options; -20% fuel</t>
  </si>
  <si>
    <t>Reduce Boeing single-supplier risk</t>
  </si>
  <si>
    <t>Lower fees + faster turns</t>
  </si>
  <si>
    <t>Med (capex)</t>
  </si>
  <si>
    <t>Med (SAF)</t>
  </si>
  <si>
    <t>Standardisation is the cost lever</t>
  </si>
  <si>
    <t>Volatile input dominates cost</t>
  </si>
  <si>
    <t>Speed + tailoring + data control</t>
  </si>
  <si>
    <t>Maintenance dependence dangerous</t>
  </si>
  <si>
    <t>Brexit/regulatory exposure</t>
  </si>
  <si>
    <t>Margin + customer-data control</t>
  </si>
  <si>
    <t>Low headline fares + margin</t>
  </si>
  <si>
    <t>Scale + efficiency</t>
  </si>
  <si>
    <t>Boeing concentration risk</t>
  </si>
  <si>
    <t>Cost + productivity</t>
  </si>
  <si>
    <t xml:space="preserve"> Single fleet (737)</t>
  </si>
  <si>
    <t>Build-not-buy digital</t>
  </si>
  <si>
    <t>In-house MRO</t>
  </si>
  <si>
    <t>Malta Air AOC</t>
  </si>
  <si>
    <t>Ancillary pricing</t>
  </si>
  <si>
    <t>Fleet modernisation</t>
  </si>
  <si>
    <t>Decreased</t>
  </si>
  <si>
    <t>Low (ex-fuel)</t>
  </si>
  <si>
    <t>Fast turns</t>
  </si>
  <si>
    <t>~11%</t>
  </si>
  <si>
    <t>Disruption (Boeing/fuel)</t>
  </si>
  <si>
    <t>Growth cut</t>
  </si>
  <si>
    <t>Compressed</t>
  </si>
  <si>
    <t>Upgrade (digital+hedge+MRO)</t>
  </si>
  <si>
    <t>~11.2%</t>
  </si>
  <si>
    <t>Airbus diversification</t>
  </si>
  <si>
    <t>Maersk NotPetya Cyberattack (2017) — global shipping infrastructure wiped</t>
  </si>
  <si>
    <t>Logistics &amp; Transportation / Maritime Shipping / Cybersecurity</t>
  </si>
  <si>
    <t>A.P. Møller-Maersk — world's largest container shipping line</t>
  </si>
  <si>
    <t>Handles ~20% of global maritime container trade; 130 countries; 600+ offices; 76 container terminals; 45,000 employees affected</t>
  </si>
  <si>
    <t>Node 1 — IT infrastructure (domain controllers)</t>
  </si>
  <si>
    <t>Node 2 — Terminal Operating Systems (76 ports)</t>
  </si>
  <si>
    <t>Node 3 — Booking &amp; cargo-tracking systems</t>
  </si>
  <si>
    <t>Node 4 — Internal communication (email/phones)</t>
  </si>
  <si>
    <t>Node 5 — Ship loading management</t>
  </si>
  <si>
    <t>Node 6 — Port operations (77 countries)</t>
  </si>
  <si>
    <t>Node7 — Customer supply chains</t>
  </si>
  <si>
    <t>Authentication backbone of the entire global network. ALL wiped by NotPetya within hours — except one in Ghana saved by a power cut.</t>
  </si>
  <si>
    <t>Systems orchestrating container movements, loading plans, gate operations at 76 terminals. All went dark.</t>
  </si>
  <si>
    <t>Customer-facing freight booking and shipment tracking. Completely unavailable.</t>
  </si>
  <si>
    <t>Email and internal phone systems rendered useless by the attack.</t>
  </si>
  <si>
    <t>Weight-balance calculation systems for safe container loading. Offline.</t>
  </si>
  <si>
    <t>Physical port facilities across 76 terminals in 130 countries. Forced to halt or operate manually.</t>
  </si>
  <si>
    <t>Every importer/exporter using Maersk services. Lost visibility of cargo, delivery dates, documentation.</t>
  </si>
  <si>
    <t>Customer books container shipment via Maersk digital platforms</t>
  </si>
  <si>
    <t>Cargo assigned to vessel; loading plan calculated by weight-balance system</t>
  </si>
  <si>
    <t>Container arrives at port; gate systems process entry</t>
  </si>
  <si>
    <t>Container loaded onto ship per precise loading plan</t>
  </si>
  <si>
    <t>Vessel departs; cargo tracked in real time</t>
  </si>
  <si>
    <t>Destination port receives vessel; TOS orchestrates unloading</t>
  </si>
  <si>
    <t>Cargo handed to customer / onward logistics</t>
  </si>
  <si>
    <t>Booking system / customer</t>
  </si>
  <si>
    <t>Terminal Operating System</t>
  </si>
  <si>
    <t>Port gate / TOS</t>
  </si>
  <si>
    <t>Ship loading management</t>
  </si>
  <si>
    <t>Tracking systems</t>
  </si>
  <si>
    <t>Destination terminal</t>
  </si>
  <si>
    <t>Customer / haulier</t>
  </si>
  <si>
    <t>High (global shipping is a major CO₂ emitter)</t>
  </si>
  <si>
    <t>High but unrecognised (average posture for sector in 2017)</t>
  </si>
  <si>
    <t>High (precision container logistics)</t>
  </si>
  <si>
    <t>Medium (efficiency of scale vs shipping emissions)</t>
  </si>
  <si>
    <t>High pre-attack (full digital service)</t>
  </si>
  <si>
    <t>Low (not applicable to shipping logistics in this context)</t>
  </si>
  <si>
    <t>Root cause (proximate)</t>
  </si>
  <si>
    <t>Root cause (structural)</t>
  </si>
  <si>
    <t>Speed of destruction</t>
  </si>
  <si>
    <t>Financial impact</t>
  </si>
  <si>
    <t>Comparator companies</t>
  </si>
  <si>
    <t>27 June 2017: NotPetya wiper deployed via a compromised M.E.Doc software update. One infected computer in Odessa, Ukraine spread to Maersk's entire global network within hours.</t>
  </si>
  <si>
    <t>Weak network segmentation allowed a single infection to propagate globally via EternalBlue + credential harvesting. All domain controllers wiped. All backups (also in-network) wiped.</t>
  </si>
  <si>
    <t>Three structural gaps: (1) no network segmentation; (2) no isolated offline backups; (3) unpatched Windows vulnerability (EternalBlue patch existed since March 2017 — 3 months before the attack); (4) no third-party software security assessment for M.E.Doc.</t>
  </si>
  <si>
    <t>Within hours of the initial infection, the entire global IT estate was gone. 600+ offices, 76 terminals, 130 countries — all simultaneously.</t>
  </si>
  <si>
    <t>ALL nodes: domain controllers (wiped), TOS (76 ports offline), booking/tracking (unavailable), email/phones (dead), ship loading (halted), customer-facing systems (gone).</t>
  </si>
  <si>
    <t>~$250–300M (Maersk Q2 2017); ~$350M including recovery. Total NotPetya damages across all victims exceeded $10B.</t>
  </si>
  <si>
    <t>Global shipping halt: port facilities shut down worldwide, tens of thousands of truckloads turned away. Maersk maintained ~80% of volume manually during 10-day outage — only a ~20% volume drop. Without the Ghana backup, recovery would have taken months, not days.</t>
  </si>
  <si>
    <t>Immediate shutdown of all systems</t>
  </si>
  <si>
    <t>Manual operation continuity</t>
  </si>
  <si>
    <t>Emergency 10-day infrastructure rebuild</t>
  </si>
  <si>
    <t>Network segmentation (post-crisis)</t>
  </si>
  <si>
    <t>Geographically isolated offline backups</t>
  </si>
  <si>
    <t>Patch management discipline</t>
  </si>
  <si>
    <t>Third-party software security assessment</t>
  </si>
  <si>
    <t>Board-level cyber programme</t>
  </si>
  <si>
    <t>Shut down entire IT estate to prevent further spread</t>
  </si>
  <si>
    <t>Run 80% of volume via phone/WhatsApp/handwritten manifests</t>
  </si>
  <si>
    <t>Physical transport Ghana→Nigeria→London to retrieve surviving domain controller</t>
  </si>
  <si>
    <t>Reinstall 4,000 servers, 45,000 PCs, 2,500 apps — new infrastructure from scratch</t>
  </si>
  <si>
    <t>Segment network so a single infection cannot traverse globally</t>
  </si>
  <si>
    <t>Mandate offline, geographically dispersed backups tested regularly</t>
  </si>
  <si>
    <t>Apply all critical patches within defined windows; EternalBlue was patchable 3 months before the attack</t>
  </si>
  <si>
    <t>Security audit all vendor software before installation; M.E.Doc was unvetted</t>
  </si>
  <si>
    <t>Elevate cyber to board risk; IR playbooks; regular drills; competitive advantage target</t>
  </si>
  <si>
    <t>Very Low (no systems)</t>
  </si>
  <si>
    <t>Very High (hardware + labour)</t>
  </si>
  <si>
    <t>High (capex + complexity)</t>
  </si>
  <si>
    <t>Medium (ongoing)</t>
  </si>
  <si>
    <t>Sustained for 10 days</t>
  </si>
  <si>
    <t>Fast once identified</t>
  </si>
  <si>
    <t>10 days</t>
  </si>
  <si>
    <t>Months to build</t>
  </si>
  <si>
    <t>Fast (once process in place)</t>
  </si>
  <si>
    <t>Med (air travel)</t>
  </si>
  <si>
    <t>High (hardware)</t>
  </si>
  <si>
    <t>Low (storage)</t>
  </si>
  <si>
    <t>Preserved</t>
  </si>
  <si>
    <t>Partial (~80%)</t>
  </si>
  <si>
    <t>Recovery enabled</t>
  </si>
  <si>
    <t>Restored</t>
  </si>
  <si>
    <t>Prevented worse loss</t>
  </si>
  <si>
    <t>80% protected</t>
  </si>
  <si>
    <t>Critical</t>
  </si>
  <si>
    <t>When malware is still spreading — stop the bleeding first</t>
  </si>
  <si>
    <t>When systems gone — human resilience is the backup</t>
  </si>
  <si>
    <t>When all other backups are gone — the accidental backup saves everything</t>
  </si>
  <si>
    <t>After lateral-movement attack reveals single flat network</t>
  </si>
  <si>
    <t>Known exploitable vulnerabilities with available patches</t>
  </si>
  <si>
    <t>Any third-party software installed on enterprise network</t>
  </si>
  <si>
    <t>After a systemic shock proves average posture is insufficient</t>
  </si>
  <si>
    <t>Reduced (containment)</t>
  </si>
  <si>
    <t>Reduced (contained)</t>
  </si>
  <si>
    <t>Reduced (enabler)</t>
  </si>
  <si>
    <t>Reduced (restored)</t>
  </si>
  <si>
    <t>Reduced (structural)</t>
  </si>
  <si>
    <t>Reduced (strategic)</t>
  </si>
  <si>
    <t>Accident becomes a design principle</t>
  </si>
  <si>
    <t>Server emergency extraction</t>
  </si>
  <si>
    <t>Backup available; emergency resources mobilised</t>
  </si>
  <si>
    <t>D1 Immediate shutdown</t>
  </si>
  <si>
    <t>D2 Manual operation</t>
  </si>
  <si>
    <t>D3 Ghana extraction</t>
  </si>
  <si>
    <t>D4 10-day rebuild</t>
  </si>
  <si>
    <t>D5 Network segmentation</t>
  </si>
  <si>
    <t>D6 Offline backups</t>
  </si>
  <si>
    <t>D7 Patch management</t>
  </si>
  <si>
    <t>D8 Third-party audits</t>
  </si>
  <si>
    <t>D9 Board-level cyber</t>
  </si>
  <si>
    <t>D10 Public transparency</t>
  </si>
  <si>
    <t>Sustained</t>
  </si>
  <si>
    <t>Partial (80%)</t>
  </si>
  <si>
    <t>Industry leader</t>
  </si>
  <si>
    <t>High (trust)</t>
  </si>
  <si>
    <t>Positive</t>
  </si>
  <si>
    <t>Reduced struct.</t>
  </si>
  <si>
    <t>Reduced strategic</t>
  </si>
  <si>
    <t>Reduced reput.</t>
  </si>
  <si>
    <t>Normal (pre-attack)</t>
  </si>
  <si>
    <t>~100% (fully digital)</t>
  </si>
  <si>
    <t>100%</t>
  </si>
  <si>
    <t>Unknown (no plan)</t>
  </si>
  <si>
    <t>Near-zero</t>
  </si>
  <si>
    <t>Disruption (days 1–10)</t>
  </si>
  <si>
    <t>~0% (all wiped)</t>
  </si>
  <si>
    <t>~80% (manual)</t>
  </si>
  <si>
    <t>Realised (~$350M)</t>
  </si>
  <si>
    <t>10 days (lucky)</t>
  </si>
  <si>
    <t>~$350M loss</t>
  </si>
  <si>
    <t>Zero</t>
  </si>
  <si>
    <t>Post-crisis (implemented)</t>
  </si>
  <si>
    <t>~100% (rebuilt + segmented)</t>
  </si>
  <si>
    <t>Lower (segmented + patched)</t>
  </si>
  <si>
    <t>Days (plan ready)</t>
  </si>
  <si>
    <t>Counterfactual (no Ghana backup)</t>
  </si>
  <si>
    <t>~0% for months</t>
  </si>
  <si>
    <t>~20% (manual)</t>
  </si>
  <si>
    <t>Catastrophic</t>
  </si>
  <si>
    <t>—</t>
  </si>
  <si>
    <t>$1B+</t>
  </si>
  <si>
    <t>IT availability</t>
  </si>
  <si>
    <t>Volume</t>
  </si>
  <si>
    <t>Customer sat.</t>
  </si>
  <si>
    <t>Cyber risk</t>
  </si>
  <si>
    <t>Recovery time</t>
  </si>
  <si>
    <t>Financial</t>
  </si>
  <si>
    <t>Resilience</t>
  </si>
  <si>
    <t>Visibility</t>
  </si>
  <si>
    <t>Fully Digital</t>
  </si>
  <si>
    <t>None</t>
  </si>
  <si>
    <t>Fully digital + Isolated</t>
  </si>
  <si>
    <t>D6 Geographically isolated backups</t>
  </si>
  <si>
    <t>D8 Third-party software audits</t>
  </si>
  <si>
    <t>D3 Ghana server extraction</t>
  </si>
  <si>
    <t>D9 Board-level cyber programme</t>
  </si>
  <si>
    <t>D1 Immediate system shutdown</t>
  </si>
  <si>
    <t>D2 Manual operation continuity</t>
  </si>
  <si>
    <t>FIB-006</t>
  </si>
  <si>
    <t>Toyota — Great East Japan Earthquake (2011) &amp; the RESCUE/BCP resilience programme</t>
  </si>
  <si>
    <t>Automotive Manufacturing / Supply Chain Resilience</t>
  </si>
  <si>
    <t>Toyota Motor Corporation — world's largest or second-largest automaker by volume</t>
  </si>
  <si>
    <t>Global output down 78% YoY in April 2011 (Matsuo 2015, citing Toyota data); net income down 77% for fiscal year ending March 2012</t>
  </si>
  <si>
    <t>Node 1 — Tier-1 suppliers (direct)</t>
  </si>
  <si>
    <t>Node 2 — Tier-2 suppliers (sub-tier)</t>
  </si>
  <si>
    <t>Node 3 — Tier-3+ suppliers (deep sub-tier)</t>
  </si>
  <si>
    <t>Node 4 — Renesas Electronics (key semi supplier)</t>
  </si>
  <si>
    <t>Node 5 — Toyota assembly plants (Japan)</t>
  </si>
  <si>
    <t>Node 6 — Toyota plants (overseas)</t>
  </si>
  <si>
    <t>Node 8 — Dealers and end customers</t>
  </si>
  <si>
    <t>Toyota's direct parts suppliers. Some in Tohoku; partially visible pre-2011. Several wiped out entirely.</t>
  </si>
  <si>
    <t>Suppliers to Toyota's tier-1s. Almost completely invisible to Toyota pre-2011.</t>
  </si>
  <si>
    <t>Raw materials, specialty chemicals (hydrogen peroxide, nitrogen trifluoride), wafer inputs. Completely invisible.</t>
  </si>
  <si>
    <t>Automotive microcontroller units (MCUs) produced by Renesas and supplied via Denso (tier-1). Renesas Naka plant in Tohoku severely damaged.</t>
  </si>
  <si>
    <t>45% of Toyota vehicles built in Japan — highest Japan-concentration of any major OEM. Most closed for ~a month.</t>
  </si>
  <si>
    <t>North American, European, Chinese assembly. Ran at 30% capacity for several weeks (shortage of 150+ parts from Japan).</t>
  </si>
  <si>
    <t>Toyota vehicle buyers worldwide. Lost supply, lost market share temporarily.</t>
  </si>
  <si>
    <t>Raw material / specialty chemical extraction and supply</t>
  </si>
  <si>
    <t>Semiconductor (MCU) fabrication — Renesas Electronics</t>
  </si>
  <si>
    <t>MCU delivered to Denso and other tier-1 electronics suppliers</t>
  </si>
  <si>
    <t>Tier-1 parts assembled into sub-assemblies; delivered JIT to Toyota</t>
  </si>
  <si>
    <t>Toyota assembly plants receive JIT parts; assemble vehicles</t>
  </si>
  <si>
    <t>Finished vehicles shipped to dealers and customers (Japan + export)</t>
  </si>
  <si>
    <t>Overseas plants receive Japan-sourced parts; assemble local vehicles</t>
  </si>
  <si>
    <t>RESCUE database activated: identify risk by address within half a day</t>
  </si>
  <si>
    <t>Tier-2 semiconductor supplier</t>
  </si>
  <si>
    <t>Tier-1 suppliers</t>
  </si>
  <si>
    <t>Toyota assembly (Japan)</t>
  </si>
  <si>
    <t>Toyota logistics / dealers</t>
  </si>
  <si>
    <t>Toyota assembly (overseas)</t>
  </si>
  <si>
    <t>Post-2011 Toyota system</t>
  </si>
  <si>
    <t>Tier-3+ / petrochemical suppliers</t>
  </si>
  <si>
    <t>Buffer stock (pre-2011)</t>
  </si>
  <si>
    <t>Sub-tier supplier visibility</t>
  </si>
  <si>
    <t>Disaster assessment time (pre-2011)</t>
  </si>
  <si>
    <t>Single-sourcing (semiconductors)</t>
  </si>
  <si>
    <t>Japan production concentration</t>
  </si>
  <si>
    <t>Production loss (April 2011)</t>
  </si>
  <si>
    <t>Net income loss (FY March 2012)</t>
  </si>
  <si>
    <t>Near-zero — JIT system; hours to 1 day of parts on hand</t>
  </si>
  <si>
    <t>None below tier-1 — Toyota 'barely saw beyond tier-1 suppliers' pre-2011</t>
  </si>
  <si>
    <t>~2 weeks to identify which parts were at risk</t>
  </si>
  <si>
    <t>Most MCUs single-sourced from Renesas via Denso; no qualified alternates</t>
  </si>
  <si>
    <t>45% of vehicles built in Japan — highest of major OEMs</t>
  </si>
  <si>
    <t>78% YoY decline</t>
  </si>
  <si>
    <t>Lean / low inventory cost under normal conditions</t>
  </si>
  <si>
    <t>Hours (JIT) — effectively zero buffer</t>
  </si>
  <si>
    <t>High (automotive manufacturing)</t>
  </si>
  <si>
    <t>Low (JIT minimises overstock)</t>
  </si>
  <si>
    <t>High pre-disruption; eroded during shortage</t>
  </si>
  <si>
    <t>High but unrecognised (hidden sub-tier concentration)</t>
  </si>
  <si>
    <t>High (TPS quality discipline)</t>
  </si>
  <si>
    <t>Medium (hybrid leadership; manufacturing footprint)</t>
  </si>
  <si>
    <t>Low-Medium (Toyota recycling programmes; early EV)</t>
  </si>
  <si>
    <t>11 March 2011, 14:46 JST: M9.0 earthquake off the Pacific coast of Tohoku; tsunami followed. Devastated northeastern Japan including Toyota's supplier network.</t>
  </si>
  <si>
    <t>Proximate: Tier-2 and tier-3 suppliers in Tohoku were wiped out; specialty chemical supply chains for semiconductor manufacturing were severed; Renesas Naka plant severely damaged. Structural: (1) JIT — near-zero inventory buffer meant any supply disruption immediately halted production. (2) Sub-tier invisibility — Toyota could not identify which parts were at risk or find alternatives because it had no sub-tier map. (3) Single-sourcing — most MCUs traced to a single Renesas plant with no qualified alternate. (4) Japan concentration — 45% of production in the disaster zone.</t>
  </si>
  <si>
    <t>Exposed JIT's fatal fragility to rare, large-scale shocks. Forced a fundamental rethink of Toyota's entire supply-chain philosophy. Also compounded by the 2011 Thailand floods (~240,000 additional vehicles lost in FY2012).</t>
  </si>
  <si>
    <t>JIT near-zero buffers + sub-tier invisibility + single-sourcing + Japan geographic concentration = catastrophic vulnerability to a large regional disaster.</t>
  </si>
  <si>
    <t>(1) RESCUE: multi-tier supplier database. (2) BCP: mandated 2–6 month buffers for ~500 priority parts. (3) Multi-sourcing and design flexibility. (4) Supplier forecast-sharing (3-year plans). (5) BCP target: recovery in 2 weeks not 6 months. (6) Regular supplier RESCUE drills.</t>
  </si>
  <si>
    <t>Toyota asked all suppliers to map their own tier-2+ supply chains and feed data into RESCUE. BCP inventory requirements written into supplier contracts. Semiconductor review and alternative-assessment process embedded in procurement. Regular disaster-response exercises run with supplier network.</t>
  </si>
  <si>
    <t>Toyota can now assess a disaster's impact on its entire supplier network in half a day. The RESCUE + BCP combination gave Toyota a measurable advantage during the 2021 chip shortage.</t>
  </si>
  <si>
    <t>Immediate task force + supplier triage</t>
  </si>
  <si>
    <t>Build RESCUE multi-tier supplier database</t>
  </si>
  <si>
    <t>Mandate BCP buffer stock (2–6 months)</t>
  </si>
  <si>
    <t>Multi-sourcing and design flexibility</t>
  </si>
  <si>
    <t>3-year supplier forecast sharing</t>
  </si>
  <si>
    <t>Regular RESCUE supplier training drills</t>
  </si>
  <si>
    <t>Geographic production diversification</t>
  </si>
  <si>
    <t>Abandon JIT entirely (counterfactual)</t>
  </si>
  <si>
    <t>Modified JIT (actual strategic choice)</t>
  </si>
  <si>
    <t>Establish task force; provide financial + technical support to affected suppliers; triage by criticality</t>
  </si>
  <si>
    <t>Map every part to every factory location across all tiers; address-based disaster search</t>
  </si>
  <si>
    <t>~500 priority parts: suppliers required to hold 2–6 months inventory; semis get 1–4 months</t>
  </si>
  <si>
    <t>Qualify multiple suppliers; design products to accept alternative chip specifications</t>
  </si>
  <si>
    <t>Share multi-year production plans; sometimes 3-year forecasts with semiconductor suppliers</t>
  </si>
  <si>
    <t>Disaster-response exercises with supplier network using RESCUE system</t>
  </si>
  <si>
    <t>Reduce Japan concentration; shift more production to regional markets</t>
  </si>
  <si>
    <t>Revert to traditional large-buffer inventory across all parts</t>
  </si>
  <si>
    <t>Keep JIT for low-risk parts; add buffers only for critical/hard-to-substitute items (kaizen framing)</t>
  </si>
  <si>
    <t>Medium (data collection)</t>
  </si>
  <si>
    <t>Medium-High (suppliers' inventory cost)</t>
  </si>
  <si>
    <t>Med-High (qualification cost)</t>
  </si>
  <si>
    <t>Low (admin)</t>
  </si>
  <si>
    <t>Low (time)</t>
  </si>
  <si>
    <t>Very High (capex)</t>
  </si>
  <si>
    <t>Very High (ongoing)</t>
  </si>
  <si>
    <t>Medium (selective buffers)</t>
  </si>
  <si>
    <t>Years to build fully</t>
  </si>
  <si>
    <t>Long (contractual)</t>
  </si>
  <si>
    <t>Very Long</t>
  </si>
  <si>
    <t>Med (storage)</t>
  </si>
  <si>
    <t>High (overstock)</t>
  </si>
  <si>
    <t>Med (selective)</t>
  </si>
  <si>
    <t>Partial</t>
  </si>
  <si>
    <t>Negative</t>
  </si>
  <si>
    <t>Slightly neg.</t>
  </si>
  <si>
    <t>Any disaster — speed of triage determines recovery speed</t>
  </si>
  <si>
    <t>After a disaster reveals sub-tier blindness</t>
  </si>
  <si>
    <t>Critical, non-substitutable, single-sourced parts</t>
  </si>
  <si>
    <t>Single-source critical components — semiconductor case</t>
  </si>
  <si>
    <t>Strategic supplier relationships where visibility matters</t>
  </si>
  <si>
    <t>Any large supplier network — practise before the crisis</t>
  </si>
  <si>
    <t>Extreme geographic concentration in a high-risk seismic region</t>
  </si>
  <si>
    <t>Not recommended — eliminates the efficiency that funds the resilience investment</t>
  </si>
  <si>
    <t>The optimal balance between efficiency and resilience — Toyota's actual answer</t>
  </si>
  <si>
    <t>Reduced structural</t>
  </si>
  <si>
    <t>Reduced (supplier planning)</t>
  </si>
  <si>
    <t>Reduced (activation speed)</t>
  </si>
  <si>
    <t>Reduced (geographic risk)</t>
  </si>
  <si>
    <t>Reduced (blunt)</t>
  </si>
  <si>
    <t>Reduced optimal</t>
  </si>
  <si>
    <t>D1 Task force + supplier triage</t>
  </si>
  <si>
    <t>D2 RESCUE database</t>
  </si>
  <si>
    <t>D3 BCP buffer stock</t>
  </si>
  <si>
    <t>D4 Multi-sourcing</t>
  </si>
  <si>
    <t>D5 Forecast sharing</t>
  </si>
  <si>
    <t>D6 RESCUE drills</t>
  </si>
  <si>
    <t>D7 Geographic diversification</t>
  </si>
  <si>
    <t>D8 Abandon JIT (c/f)</t>
  </si>
  <si>
    <t>D9 Modified JIT (actual)</t>
  </si>
  <si>
    <t>Years</t>
  </si>
  <si>
    <t>Reduced- struct.</t>
  </si>
  <si>
    <t>Reduced- activation</t>
  </si>
  <si>
    <t>Reduced- blunt</t>
  </si>
  <si>
    <t>Reduced- optimal</t>
  </si>
  <si>
    <t>Buffer stock</t>
  </si>
  <si>
    <t>Sub-tier visibility</t>
  </si>
  <si>
    <t>Disaster assessment time</t>
  </si>
  <si>
    <t>Semiconductor risk</t>
  </si>
  <si>
    <t>Production loss</t>
  </si>
  <si>
    <t>Normal (pre-2011 JIT)</t>
  </si>
  <si>
    <t>None below tier-1</t>
  </si>
  <si>
    <t>~2 weeks</t>
  </si>
  <si>
    <t>Unrecognised (single-source)</t>
  </si>
  <si>
    <t>78% (shock)</t>
  </si>
  <si>
    <t>77% profit drop</t>
  </si>
  <si>
    <t>Disruption (2011)</t>
  </si>
  <si>
    <t>Blind</t>
  </si>
  <si>
    <t>2 weeks (too slow)</t>
  </si>
  <si>
    <t>Realised — Renesas halt</t>
  </si>
  <si>
    <t>78% April 2011</t>
  </si>
  <si>
    <t>77% net income drop</t>
  </si>
  <si>
    <t>BCP Target</t>
  </si>
  <si>
    <t>RESCUE multi-tier database</t>
  </si>
  <si>
    <t>BCP buffer stock (2–6 months)</t>
  </si>
  <si>
    <t>RESCUE supplier training drills</t>
  </si>
  <si>
    <t>Multi-sourcing + design flex.</t>
  </si>
  <si>
    <t>Forecast sharing (3-year)</t>
  </si>
  <si>
    <t>Task force + supplier triage</t>
  </si>
  <si>
    <t>Abandon JIT (counterfactual)</t>
  </si>
  <si>
    <t>FIB-007</t>
  </si>
  <si>
    <t>KFC UK — 2018 Chicken Shortage: Single-DC logistics failure and crisis recovery</t>
  </si>
  <si>
    <t>Food &amp; QSR (Quick Service Restaurant) / Logistics &amp; Distribution</t>
  </si>
  <si>
    <t>KFC (Kentucky Fried Chicken) is a global fast-food chain owned by Yum! Brands. The UK is KFC's fifth largest market globally, contributing ~6% of its US$24.5bn global sales (2017). The UK has the largest fast-food chicken market in Europe. KFC UK operates ~900 restaurants, ~95% franchised.</t>
  </si>
  <si>
    <t>~900 UK/Ireland restaurants; ~500 fresh-chicken farmers supplying the UK network; UK turnover £445.7M (2017 pre-crisis).</t>
  </si>
  <si>
    <t>Node 1 — Fresh-chicken farmers (~500)</t>
  </si>
  <si>
    <t>Node 2 — Chicken processing plants</t>
  </si>
  <si>
    <t>Node 3 — DHL Rugby depot (single DC)</t>
  </si>
  <si>
    <t>Node 4 — Bidvest (former 6-DC network)</t>
  </si>
  <si>
    <t>Node 5 — Distribution routes / roads</t>
  </si>
  <si>
    <t>Node 6 — KFC restaurants (~900)</t>
  </si>
  <si>
    <t>Node 7 — Franchise owners</t>
  </si>
  <si>
    <t>Node 8 — KFC customers / public</t>
  </si>
  <si>
    <t>Network of UK farms supplying fresh chickens daily to KFC. No buffer — birds are raised to a production schedule.</t>
  </si>
  <si>
    <t>Slaughterhouses and processors converting live birds to portioned fresh chicken for KFC.</t>
  </si>
  <si>
    <t>NEW: one warehouse in Rugby handling ALL 900 UK/Ireland stores from day 1. Unregistered for food storage, undertrained staff, new IT system.</t>
  </si>
  <si>
    <t>FORMER: Bidvest used 6 warehouses across the UK; specialist food-distribution experience; had handled KFC for years.</t>
  </si>
  <si>
    <t>M6 motorway near Rugby; road network connecting the single depot to 900 stores.</t>
  </si>
  <si>
    <t>Franchised restaurants; daily fresh-chicken delivery required; zero buffer stock (JIT food model).</t>
  </si>
  <si>
    <t>Independent business owners operating KFC stores; had no role in the logistics decision.</t>
  </si>
  <si>
    <t>UK consumers; largest fast-food chicken market in Europe; strong emotional attachment to the brand.</t>
  </si>
  <si>
    <t>Farmers raise and deliver fresh chickens on a production schedule</t>
  </si>
  <si>
    <t>Processors portion and package fresh chicken to KFC specification</t>
  </si>
  <si>
    <t>DC (Rugby) receives, stores (chilled) and picks orders for each restaurant</t>
  </si>
  <si>
    <t>Trucks depart DC nightly for next-day delivery to restaurants</t>
  </si>
  <si>
    <t>Restaurants receive chilled delivery; prepare and serve chicken</t>
  </si>
  <si>
    <t>Franchisees place next-day orders through DHL/QSL IT system</t>
  </si>
  <si>
    <t>KFC corporate monitors sales and supply; adjusts allocations</t>
  </si>
  <si>
    <t>N1 Farmers → N2 Processing</t>
  </si>
  <si>
    <t>N2 Processing → N3 DC</t>
  </si>
  <si>
    <t>N3 DHL DC</t>
  </si>
  <si>
    <t>N3 DC → N6 Restaurants</t>
  </si>
  <si>
    <t>N6 Restaurants → N8 Customers</t>
  </si>
  <si>
    <t>N7 Franchisees → N3 DC</t>
  </si>
  <si>
    <t>KFC corporate → N3 DC</t>
  </si>
  <si>
    <t>Lower contract price (DHL) vs Bidvest</t>
  </si>
  <si>
    <t>Daily fresh delivery required (JIT food)</t>
  </si>
  <si>
    <t>Medium (road distribution network)</t>
  </si>
  <si>
    <t>Very high during crisis — chicken spoiling in depot/trucks (wrong temp settings, driver delays)</t>
  </si>
  <si>
    <t>Crashed to −17% net sentiment; recovered to +31% by end 2018</t>
  </si>
  <si>
    <t>Very high unrecognised — single DC, new operator, no contingency, no transition overlap</t>
  </si>
  <si>
    <t>Normal pre-crisis; chilled food spoilage during crisis</t>
  </si>
  <si>
    <t>High waste impact — ~500 farmers' supply stranded; spoilage throughout the system</t>
  </si>
  <si>
    <t>Low — food waste is the primary circular concern here</t>
  </si>
  <si>
    <t>Stores open (normal)</t>
  </si>
  <si>
    <t>Stores open (crisis peak)</t>
  </si>
  <si>
    <t>Revenue loss</t>
  </si>
  <si>
    <t>Same-store sales growth</t>
  </si>
  <si>
    <t>Profit after tax (2017 → 2018)</t>
  </si>
  <si>
    <t>Market share pre-crisis</t>
  </si>
  <si>
    <t>Market share post-recovery</t>
  </si>
  <si>
    <t>Distribution nodes (Bidvest)</t>
  </si>
  <si>
    <t>Distribution nodes (DHL)</t>
  </si>
  <si>
    <t>~870–900 UK/Ireland</t>
  </si>
  <si>
    <t>~£1M/day at peak closure</t>
  </si>
  <si>
    <t>−6.8% for the year</t>
  </si>
  <si>
    <t>7.3% (2017)</t>
  </si>
  <si>
    <t>8.1% (2019) — higher than before</t>
  </si>
  <si>
    <t>6 warehouses across UK</t>
  </si>
  <si>
    <t>1 warehouse (Rugby)</t>
  </si>
  <si>
    <t>14 February 2018 (Valentine's Day): DHL goes live as KFC UK's sole logistics provider. At ~01:40, a 7-vehicle collision on the M6 near Rugby blocks the motorway. A second accident involving two lorries follows shortly after at a nearby junction. All outbound routes from the single Rugby depot are blocked on day one.</t>
  </si>
  <si>
    <t>Six Bidvest warehouses replaced by one DHL depot. No transition overlap. No contingency plan. DHL lacked chilled-food domain expertise. Staff undertrained. IT system untested at scale. Cold storage unregistered with the council. A foreseeable road event near Rugby exposed zero resilience. Road accidents on the M6 near Rugby blocked all truck movements from the single DHL distribution centre on its first day of operation. (1) Incorrect temperature regulators in trailers → chicken spoiling. (2) DHL depot unregistered for food storage with Rugby Borough Council. (3) New IT/QSL system untested. (4) No reversion plan — Bidvest had already laid off 255 staff and wound down operations. (5) ~500 farmers' supply stranded upstream.</t>
  </si>
  <si>
    <t>Near-total UK restaurant closure; ~£1M/day revenue loss; franchisee income destroyed; 500 farmers' supply wasted; brand crisis; police fielding calls about chicken shortages; global media coverage.</t>
  </si>
  <si>
    <t>Wait for DHL to fix the problem</t>
  </si>
  <si>
    <t>Rehire Bidvest for partial network</t>
  </si>
  <si>
    <t>Run 24/7 delivery operations</t>
  </si>
  <si>
    <t>Publish live open-store list / microsite</t>
  </si>
  <si>
    <t>FCK apology campaign (print + social)</t>
  </si>
  <si>
    <t>Pause all advertising</t>
  </si>
  <si>
    <t>Return to multi-DC model (long-term)</t>
  </si>
  <si>
    <t>Build supplier transition testing plans</t>
  </si>
  <si>
    <t>Partner with Booker/Tesco (2020)</t>
  </si>
  <si>
    <t>Develop internal logistics competency</t>
  </si>
  <si>
    <t>Trust DHL to resolve its own failure</t>
  </si>
  <si>
    <t>Bring back the proven supplier for ~350 Northern England restaurants</t>
  </si>
  <si>
    <t>DHL operates the depot 24/7 to clear the backlog</t>
  </si>
  <si>
    <t>Real-time website showing which stores are open; updated daily</t>
  </si>
  <si>
    <t>Full-page ad in Sun/Metro; humility/humour/honesty; took full accountability; did not blame DHL</t>
  </si>
  <si>
    <t>Stop all KFC UK advertising during the crisis</t>
  </si>
  <si>
    <t>End single-hub; multi-supplier; multi-warehouse; backup routes</t>
  </si>
  <si>
    <t>Mandate parallel-run periods and scenario testing for any future logistics transition</t>
  </si>
  <si>
    <t>Add a second distribution partner with national coverage for additional redundancy</t>
  </si>
  <si>
    <t>Build in-house logistics expertise at the board/executive level so KFC cannot be blind-sided by a supplier's capabilities</t>
  </si>
  <si>
    <t>Low (short-term)</t>
  </si>
  <si>
    <t>Medium-High (re-onboarding)</t>
  </si>
  <si>
    <t>High (overtime)</t>
  </si>
  <si>
    <t>Low (media buy)</t>
  </si>
  <si>
    <t>High (restructuring)</t>
  </si>
  <si>
    <t>Medium (talent)</t>
  </si>
  <si>
    <t>Crisis deepened daily</t>
  </si>
  <si>
    <t>Improved for Bidvest stores</t>
  </si>
  <si>
    <t>Collapsed</t>
  </si>
  <si>
    <t>Improving</t>
  </si>
  <si>
    <t>Never — DHL lacked the capability; waiting destroyed franchisee revenue daily</t>
  </si>
  <si>
    <t>When the new provider is clearly unable to deliver and the old one is available</t>
  </si>
  <si>
    <t>When backlog is recoverable and staff capacity allows surge</t>
  </si>
  <si>
    <t>Immediately when closures are widespread — reduces customer wasted journeys</t>
  </si>
  <si>
    <t>When the mistake is publicly known and blame-shifting would make it worse; requires brand voice consistency</t>
  </si>
  <si>
    <t>Immediately — advertising during a product shortage is tone-deaf and generates backlash</t>
  </si>
  <si>
    <t>After single-node failure — the structural fix that should have been the original model</t>
  </si>
  <si>
    <t>Before ANY logistics provider change — should have been standard before DHL go-live</t>
  </si>
  <si>
    <t>When distribution reliability is a strategic competitive differentiator</t>
  </si>
  <si>
    <t>Logistics is a core competency in food service — outsourcing does not outsource the knowledge requirement</t>
  </si>
  <si>
    <t>Reduced partial</t>
  </si>
  <si>
    <t>Reduced (frustration)</t>
  </si>
  <si>
    <t>Reduced reput. damage</t>
  </si>
  <si>
    <t>Increased (managed exp.)</t>
  </si>
  <si>
    <t>Increased (brand recovery)</t>
  </si>
  <si>
    <t>D1 Wait for DHL fix</t>
  </si>
  <si>
    <t>D2 Rehire Bidvest (partial)</t>
  </si>
  <si>
    <t>D3 24/7 operations</t>
  </si>
  <si>
    <t>D4 Live open-store microsite</t>
  </si>
  <si>
    <t>D5 FCK ad campaign</t>
  </si>
  <si>
    <t>D6 Pause advertising</t>
  </si>
  <si>
    <t>D7 Return multi-DC (LT)</t>
  </si>
  <si>
    <t>D8 Transition testing plans</t>
  </si>
  <si>
    <t>D9 Booker/Tesco partner</t>
  </si>
  <si>
    <t>D10 Internal logistics competency</t>
  </si>
  <si>
    <t>Crisis deepened</t>
  </si>
  <si>
    <t>Improved (350 stores)</t>
  </si>
  <si>
    <t>Reduced- partial</t>
  </si>
  <si>
    <t>Reduced-</t>
  </si>
  <si>
    <t>Reduced- frustration</t>
  </si>
  <si>
    <t>Reduced- reput.</t>
  </si>
  <si>
    <t>Reduced- damage</t>
  </si>
  <si>
    <t>Increased- managed</t>
  </si>
  <si>
    <t>Increased- brand</t>
  </si>
  <si>
    <t>Stores open</t>
  </si>
  <si>
    <t>Revenue/day</t>
  </si>
  <si>
    <t>Cust. sentiment</t>
  </si>
  <si>
    <t>Brand share</t>
  </si>
  <si>
    <t>DC nodes</t>
  </si>
  <si>
    <t>Normal (Bidvest, pre-2018)</t>
  </si>
  <si>
    <t>~870 (~100%)</t>
  </si>
  <si>
    <t>~£1.2M+</t>
  </si>
  <si>
    <t>Stable (7.3% share)</t>
  </si>
  <si>
    <t>7.3%</t>
  </si>
  <si>
    <t>6 warehouses</t>
  </si>
  <si>
    <t>Bidvest (food specialist)</t>
  </si>
  <si>
    <t>Crisis peak (Feb 2018)</t>
  </si>
  <si>
    <t>266 (~30%)</t>
  </si>
  <si>
    <t>~£0M (closed stores)</t>
  </si>
  <si>
    <t>−17% net sentiment</t>
  </si>
  <si>
    <t>Falling</t>
  </si>
  <si>
    <t>1 Rugby depot</t>
  </si>
  <si>
    <t>DHL (day 1 failure)</t>
  </si>
  <si>
    <t>Very High (spoilage)</t>
  </si>
  <si>
    <t>Recovery (Mar 2018)</t>
  </si>
  <si>
    <t>Restoring</t>
  </si>
  <si>
    <t>~£0.8M+</t>
  </si>
  <si>
    <t>Recovering</t>
  </si>
  <si>
    <t>DHL + Bidvest (split)</t>
  </si>
  <si>
    <t>Dual (emergency)</t>
  </si>
  <si>
    <t>Reducing</t>
  </si>
  <si>
    <t>Post-crisis (2019–2020)</t>
  </si>
  <si>
    <t>~900 (full)</t>
  </si>
  <si>
    <t>Full recovery</t>
  </si>
  <si>
    <t>+31% / 8.1% share</t>
  </si>
  <si>
    <t>8.1% (record)</t>
  </si>
  <si>
    <t>Multi-DC + Booker</t>
  </si>
  <si>
    <t>Bidvest + Booker/Tesco</t>
  </si>
  <si>
    <t>Resiliences</t>
  </si>
  <si>
    <t>Low-Medium</t>
  </si>
  <si>
    <t>High(Multi-Node)</t>
  </si>
  <si>
    <t>KFC apology campaign</t>
  </si>
  <si>
    <t>Live open-store microsite</t>
  </si>
  <si>
    <t>Return to multi-DC model</t>
  </si>
  <si>
    <t>Supplier transition testing</t>
  </si>
  <si>
    <t>Rehire Bidvest (partial)</t>
  </si>
  <si>
    <t>Internal logistics competency</t>
  </si>
  <si>
    <t>Booker/Tesco partnership</t>
  </si>
  <si>
    <t>Pause advertising</t>
  </si>
  <si>
    <t>24/7 operations</t>
  </si>
  <si>
    <t>Wait for DHL fix</t>
  </si>
  <si>
    <t>FIB-008</t>
  </si>
  <si>
    <t>Firestone/Ford — ATX &amp; Wilderness AT tire recall (2000): tread separation, fatalities and the TREAD Act</t>
  </si>
  <si>
    <t>Automotive / Tire Manufacturing / Consumer Product Safety</t>
  </si>
  <si>
    <t>Firestone (Bridgestone/Firestone Inc.) — one of the largest tire makers in the world; acquired by Japan's Bridgestone in 1988. Ford Motor Company — one of the world's largest automakers. The two companies had a near-century-old relationship dating to Harvey Firestone and Henry Ford's personal friendship in 1906.</t>
  </si>
  <si>
    <t>Firestone Radial ATX, ATX II and Wilderness AT tires (primarily P235/75R15 size). Mounted as original equipment on Ford Explorer, Ford Ranger, Ford F-150, Mercury Mountaineer, Mazda Navajo and Mazda B-series.</t>
  </si>
  <si>
    <t>Inputs to tire manufacturing. Belt-edge rubber compound and inner liner specifications were central to the failure mode.</t>
  </si>
  <si>
    <t>Firestone Fab 22 (Decatur IL) produced ATX/Wilderness AT tires at a significantly higher failure rate than Wilson NC and Joliette Quebec plants making the same model.</t>
  </si>
  <si>
    <t>Firestone's warranty-claims database recorded thousands of tread-separation failures from 1996. Systematically misattributed to consumer error.</t>
  </si>
  <si>
    <t>Ford's Explorer design: high centre of gravity (rollover risk); Ford recommended 26 psi tire inflation (vs Firestone's 30 psi) to reduce rollover tendency.</t>
  </si>
  <si>
    <t>New-vehicle dealers and tire retailers installing the tires on Explorers and trucks.</t>
  </si>
  <si>
    <t>National Highway Traffic Safety Administration responsible for vehicle and tire safety. Hotline complaints were suppressed by plaintiff attorneys; overseas data not reported by Ford.</t>
  </si>
  <si>
    <t>Owners of ~6.5M recalled tires; most in hot southern states (California, Arizona, Texas, Florida) where heat amplified the failure.</t>
  </si>
  <si>
    <t>Raw materials sourced and compounded for tire manufacturing</t>
  </si>
  <si>
    <t>Tires manufactured at Decatur IL (primary), Wilson NC, Joliette QC</t>
  </si>
  <si>
    <t>Quality control and warranty-claims tracking at Firestone</t>
  </si>
  <si>
    <t>Tires shipped to Ford and other OEMs as original equipment</t>
  </si>
  <si>
    <t>Ford designs Explorer with 26 psi inflation recommendation (vs Firestone's 30 psi)</t>
  </si>
  <si>
    <t>Tires fitted to Explorers at assembly; sold through dealer network</t>
  </si>
  <si>
    <t>Consumers drive in hot climates; tread separates at highway speed; Explorer rolls over</t>
  </si>
  <si>
    <t>Warranty claims filed; attorneys aware; NHTSA hotline NOT used; overseas recalls NOT reported</t>
  </si>
  <si>
    <t>N1 Raw materials → N2 Manufacturing</t>
  </si>
  <si>
    <t>N2 Firestone manufacturing</t>
  </si>
  <si>
    <t>N3 QC / warranty systems</t>
  </si>
  <si>
    <t>N2 → N4 Ford / OEM fitment</t>
  </si>
  <si>
    <t>N4 Ford vehicle design</t>
  </si>
  <si>
    <t>N5 Dealer / installer</t>
  </si>
  <si>
    <t>N7 Consumers — failure mode</t>
  </si>
  <si>
    <t>N3/N6/N8 — suppression nodes</t>
  </si>
  <si>
    <t>Node 1 — Raw materials (rubber, steel belt, chemicals)</t>
  </si>
  <si>
    <t>Node 2 — Firestone manufacturing (Decatur IL primary)</t>
  </si>
  <si>
    <t>Node 3 — Quality control / warranty systems</t>
  </si>
  <si>
    <t>Node 4 — Ford vehicle design (Explorer)</t>
  </si>
  <si>
    <t>Node 5 — Dealer / installer network</t>
  </si>
  <si>
    <t>Node 6 — NHTSA (regulator)</t>
  </si>
  <si>
    <t>Node 7 — Consumers / drivers</t>
  </si>
  <si>
    <t>Tires in recall (initial)</t>
  </si>
  <si>
    <t>Tires in extended recall (Ford, 2001)</t>
  </si>
  <si>
    <t>US fatalities attributed</t>
  </si>
  <si>
    <t>US injuries attributed</t>
  </si>
  <si>
    <t>International fatalities</t>
  </si>
  <si>
    <t>Years of known risk before mass recall</t>
  </si>
  <si>
    <t>Decatur failure rate vs other plants</t>
  </si>
  <si>
    <t>Ford inflation recommendation</t>
  </si>
  <si>
    <t>Wilderness AT heat rating</t>
  </si>
  <si>
    <t>6.5 million (of 14.4M produced)</t>
  </si>
  <si>
    <t>13 million Wilderness AT</t>
  </si>
  <si>
    <t>500+</t>
  </si>
  <si>
    <t>46 (Venezuela) + others</t>
  </si>
  <si>
    <t>Significantly higher (primary evidence of plant-level QC failure)</t>
  </si>
  <si>
    <t>26 psi</t>
  </si>
  <si>
    <t>Grade C (lowest allowed by NHTSA UTQG)</t>
  </si>
  <si>
    <t>Ford Explorer lawsuits settled</t>
  </si>
  <si>
    <t>~1,500 cases</t>
  </si>
  <si>
    <t>Cost (Firestone)</t>
  </si>
  <si>
    <t>Cost (Ford)</t>
  </si>
  <si>
    <t>Extended recall; 100-year relationship ended; brand damage; settlements</t>
  </si>
  <si>
    <t>Lead Time (tire design cycle)</t>
  </si>
  <si>
    <t>Multi-year (design → production → field)</t>
  </si>
  <si>
    <t>Not material to this case</t>
  </si>
  <si>
    <t>Millions of disposed tires; vehicle recalls</t>
  </si>
  <si>
    <t>Catastrophically low — 271 deaths; public loss of trust</t>
  </si>
  <si>
    <t>Very High — realised catastrophically; suppressed signals delayed action 4 years</t>
  </si>
  <si>
    <t>Quality (Decatur)</t>
  </si>
  <si>
    <t>Very Low — defective batch design + manufacturing inconsistency</t>
  </si>
  <si>
    <t>Not primary to case; tire disposal at scale is an environmental issue</t>
  </si>
  <si>
    <t>Low — mass tire recall creates disposal burden</t>
  </si>
  <si>
    <t>Root cause (technical)</t>
  </si>
  <si>
    <t>Root cause (structural — Firestone)</t>
  </si>
  <si>
    <t>Root cause (structural — Ford)</t>
  </si>
  <si>
    <t>Root cause (systemic)</t>
  </si>
  <si>
    <t>Suppression mechanism</t>
  </si>
  <si>
    <t>Media investigation: In early 2000, Houston TV station KHOU ran an investigative report on Firestone tire failures and Explorer rollovers. The Chicago Sun-Times and New York Times followed. Media pressure forced NHTSA to open a formal investigation (PE00-020) on May 2, 2000 — the actual trigger was journalism, not company or regulator action.</t>
  </si>
  <si>
    <t>Warranty-claims data suppressed (attributed to consumer misuse). No proactive investigation. Overseas warning signs (1996 Arizona; 1998 Ford overseas complaints; 1998 State Farm insurance data) ignored. Firestone sent engineers to Arizona in 1996, concluded 'normal passenger tires being used in heavy conditions' — a coverup conclusion.</t>
  </si>
  <si>
    <t>Ford recommended 26 psi vs Firestone's 30 psi — increasing thermal stress on the tire. Ford began replacing Firestone tires in overseas markets (Venezuela, Saudi Arabia, Thailand) in late 1999 without notifying NHTSA — a legal violation. Ford used Firestone as sole-source original equipment without independent quality verification.</t>
  </si>
  <si>
    <t>System-level interaction: the Explorer's rollover tendency (high CoG) + Firestone tread separation = fatalities. Neither failure mode alone was necessarily lethal; together they were. Neither company tested the system-level interaction.</t>
  </si>
  <si>
    <t>Plaintiff attorneys stopped using the NHTSA hotline (feared investigation would compromise lawsuits). Firestone suppressed warranty data. Ford did not disclose overseas replacements. NHTSA was blind from multiple directions simultaneously. Of 271 US deaths, 258 occurred after 1996 — after the problem was already known.</t>
  </si>
  <si>
    <t>Plant-level manufacturing QC inconsistency + warranty-data suppression + no independent OEM quality verification + system-interaction failure (tire + vehicle) + regulatory information suppression.</t>
  </si>
  <si>
    <t>Deny and attribute to consumer error</t>
  </si>
  <si>
    <t>Replace tires overseas without notifying NHTSA</t>
  </si>
  <si>
    <t>Commission NHTSA formal investigation</t>
  </si>
  <si>
    <t>Issue voluntary recall (6.5M tires)</t>
  </si>
  <si>
    <t>Extend recall to 13M Wilderness AT (unilateral)</t>
  </si>
  <si>
    <t>Congressional investigation and public testimony</t>
  </si>
  <si>
    <t>Pass TREAD Act — early warning reporting</t>
  </si>
  <si>
    <t>Implement TPMS — hardware mandate</t>
  </si>
  <si>
    <t>Plant-level quality traceability (systemic)</t>
  </si>
  <si>
    <t>System-level product testing (tire + vehicle)</t>
  </si>
  <si>
    <t>Attribute all warranty claims to improper inflation, off-road use, overloading</t>
  </si>
  <si>
    <t>Replace Firestone tires on Explorers in Venezuela, Saudi Arabia, Thailand without US disclosure</t>
  </si>
  <si>
    <t>NHTSA opens formal investigation PE00-020 after media pressure</t>
  </si>
  <si>
    <t>Recall ATX/ATXII and Decatur Wilderness AT tires; phase by geography; replace with competitors if necessary</t>
  </si>
  <si>
    <t>Replace ALL Wilderness AT tires on Ford vehicles regardless of plant</t>
  </si>
  <si>
    <t>Public hearings; CEO testimony; document production; revealed 1996 knowledge</t>
  </si>
  <si>
    <t>Mandate proactive disclosure of safety-defect patterns; international recall disclosure; TPMS</t>
  </si>
  <si>
    <t>Tyre Pressure Monitoring Systems in all new US passenger vehicles</t>
  </si>
  <si>
    <t>Trace every tire to manufacturing cell, shift, batch — enable precise defect identification by production source</t>
  </si>
  <si>
    <t>Test critical safety components in the actual vehicle operating context — not in isolation</t>
  </si>
  <si>
    <t>Very Low (short-term)</t>
  </si>
  <si>
    <t>Low (regulatory)</t>
  </si>
  <si>
    <t>High (recall logistics)</t>
  </si>
  <si>
    <t>Low (political)</t>
  </si>
  <si>
    <t>Low (legislation)</t>
  </si>
  <si>
    <t>Medium (per vehicle)</t>
  </si>
  <si>
    <t>Medium (infrastructure)</t>
  </si>
  <si>
    <t>Crisis delayed — deaths continued</t>
  </si>
  <si>
    <t>Danger continued in US</t>
  </si>
  <si>
    <t>Critical path to recall</t>
  </si>
  <si>
    <t>Critical path</t>
  </si>
  <si>
    <t>Long (implementation)</t>
  </si>
  <si>
    <t>Long (production cycle)</t>
  </si>
  <si>
    <t>MAXIMISED (catastrophic)</t>
  </si>
  <si>
    <t>MAXIMISED (US)</t>
  </si>
  <si>
    <t>Destroyed</t>
  </si>
  <si>
    <t>Maintained overseas</t>
  </si>
  <si>
    <t>Very Low (US)</t>
  </si>
  <si>
    <t>Low (batteries)</t>
  </si>
  <si>
    <t>Low (materials)</t>
  </si>
  <si>
    <t>Never — suppression converts a manageable recall into a criminal liability</t>
  </si>
  <si>
    <t>Never — overseas replacement without domestic disclosure is illegal and unconscionable</t>
  </si>
  <si>
    <t>When safety data patterns meet the threshold for formal inquiry — should have happened in 1997–98</t>
  </si>
  <si>
    <t>When defect is confirmed and public safety at risk — should have happened in 1996–97</t>
  </si>
  <si>
    <t>When the initial recall scope is insufficient and the OEM has independent evidence — terminated the Firestone relationship</t>
  </si>
  <si>
    <t>When corporate disclosure is inadequate and public safety demands accountability</t>
  </si>
  <si>
    <t>After a systemic regulatory information failure kills hundreds of people</t>
  </si>
  <si>
    <t>After the inflation-contribution to tread separation is documented — a direct engineering response to a specific failure mode</t>
  </si>
  <si>
    <t>After Decatur shows plant-level inconsistency is invisible without granular traceability</t>
  </si>
  <si>
    <t>Always for safety-critical OEM-supplier component interactions — the failure mode required both defects to be present</t>
  </si>
  <si>
    <t>Very Low (temp)</t>
  </si>
  <si>
    <t>Deaths continued</t>
  </si>
  <si>
    <t>MAXIMISED</t>
  </si>
  <si>
    <t>US danger continued</t>
  </si>
  <si>
    <t>MAXIMISED US</t>
  </si>
  <si>
    <t>Maintained OS</t>
  </si>
  <si>
    <t>Very Low US</t>
  </si>
  <si>
    <t>Deny / attribute consumer error</t>
  </si>
  <si>
    <t>Overseas replace / no US disclosure</t>
  </si>
  <si>
    <t>NHTSA formal investigation</t>
  </si>
  <si>
    <t>Voluntary recall (6.5M)</t>
  </si>
  <si>
    <t>Ford extended recall (13M)</t>
  </si>
  <si>
    <t>Congressional investigation</t>
  </si>
  <si>
    <t>TREAD Act</t>
  </si>
  <si>
    <t>TPMS mandate</t>
  </si>
  <si>
    <t>Plant-level traceability</t>
  </si>
  <si>
    <t>System-level testing</t>
  </si>
  <si>
    <t>Normal (pre-1996)</t>
  </si>
  <si>
    <t>Unknown — risk unrecognised</t>
  </si>
  <si>
    <t>Warranty data accumulating (unreported)</t>
  </si>
  <si>
    <t>Blind (NHTSA)</t>
  </si>
  <si>
    <t>100-year partnership</t>
  </si>
  <si>
    <t>Minimal plant-level tracing</t>
  </si>
  <si>
    <t>1996–2000 (suppressed)</t>
  </si>
  <si>
    <t>Very High — 258 preventable deaths</t>
  </si>
  <si>
    <t>Suppressed (consumer blamed)</t>
  </si>
  <si>
    <t>Still blind</t>
  </si>
  <si>
    <t>Partnership intact but strained</t>
  </si>
  <si>
    <t>No change</t>
  </si>
  <si>
    <t>Declining (unaware)</t>
  </si>
  <si>
    <t>2000 recall (reactive)</t>
  </si>
  <si>
    <t>High (6.5M tires on road)</t>
  </si>
  <si>
    <t>Exposed via media/NHTSA</t>
  </si>
  <si>
    <t>Partial (PE00-020)</t>
  </si>
  <si>
    <t>6.5M → 13M</t>
  </si>
  <si>
    <t>Collapsed permanently</t>
  </si>
  <si>
    <t>Scrutinised</t>
  </si>
  <si>
    <t>Post-TREAD Act (2001+)</t>
  </si>
  <si>
    <t>Lower (TPMS; early warning)</t>
  </si>
  <si>
    <t>Early warning mandatory</t>
  </si>
  <si>
    <t>High (TREAD Act)</t>
  </si>
  <si>
    <t>Systemic</t>
  </si>
  <si>
    <t>Rebuilt with new suppliers</t>
  </si>
  <si>
    <t>Plant-level QC standard</t>
  </si>
  <si>
    <t>Recovering (slowly)</t>
  </si>
  <si>
    <t>Lives at risk</t>
  </si>
  <si>
    <t>Quality signal</t>
  </si>
  <si>
    <t>Regulatory visibility</t>
  </si>
  <si>
    <t>Recall scope</t>
  </si>
  <si>
    <t>Supplier relationship</t>
  </si>
  <si>
    <t>Industry QC standard</t>
  </si>
  <si>
    <t>Consumer trust</t>
  </si>
  <si>
    <t>Regulatory Framework</t>
  </si>
  <si>
    <t>Pre-TREAD Act (limited)</t>
  </si>
  <si>
    <t>Still pre-TREAD</t>
  </si>
  <si>
    <t>TREAD Act passed Nov 2000</t>
  </si>
  <si>
    <t>TREAD Act in force; TPMS mandate</t>
  </si>
  <si>
    <t>TREAD Act — early warning reporting</t>
  </si>
  <si>
    <t>TPMS hardware mandate</t>
  </si>
  <si>
    <t>Plant-level quality traceability</t>
  </si>
  <si>
    <t>System-level product testing</t>
  </si>
  <si>
    <t>FIB-009</t>
  </si>
  <si>
    <t>1997 Aisin Seiki Fire — Toyota network resilience and self-organised supplier recovery</t>
  </si>
  <si>
    <t>Automotive Manufacturing / Supplier Network Resilience</t>
  </si>
  <si>
    <t>Aisin Seiki Co. (Tier-1 supplier, Toyota Group) · Toyota Motor Corporation · ~200 Toyota-group suppliers</t>
  </si>
  <si>
    <t>Toyota estimated losses of ~$195M from the shutdown; approximately 70,000 vehicles affected</t>
  </si>
  <si>
    <t>N1 — Aisin Seiki Kariya Plant No.10</t>
  </si>
  <si>
    <t>N2 — Raw material suppliers</t>
  </si>
  <si>
    <t>N3 — 200+ Toyota-group suppliers (recovery)</t>
  </si>
  <si>
    <t>N4 — Toyota assembly plants (20 in Japan)</t>
  </si>
  <si>
    <t>N6 — Dealers / customers</t>
  </si>
  <si>
    <t>N7 — Toyota Motor Corporation (coordinator)</t>
  </si>
  <si>
    <t>Steel, rubber, hydraulic components for P-valve production.</t>
  </si>
  <si>
    <t>Toyota Tier-1/2 suppliers who volunteered or were asked to improvise P-valve production using adapted machinery.</t>
  </si>
  <si>
    <t>All 20 Toyota assembly plants in Japan — dependent on daily JIT P-valve delivery with ~2–3 days of buffer.</t>
  </si>
  <si>
    <t>Other Toyota-group manufacturers also using Aisin P-valves.</t>
  </si>
  <si>
    <t>Global Toyota dealers and end customers awaiting vehicle delivery.</t>
  </si>
  <si>
    <t>Toyota's crisis management team coordinated recovery — guaranteed to buy back surplus inventory; distributed 1% of Tier-1 sales as compensation.</t>
  </si>
  <si>
    <t>Steel/rubber inputs sourced for P-valve production</t>
  </si>
  <si>
    <t>P-valves machined to precision tolerances at Aisin Kariya Plant No.10 (32,500/day)</t>
  </si>
  <si>
    <t>JIT delivery of P-valves to Toyota assembly plants (daily; ~2–3 days buffer only)</t>
  </si>
  <si>
    <t>Vehicles assembled; P-valve installed in braking system</t>
  </si>
  <si>
    <t>Finished vehicles distributed to dealers and customers</t>
  </si>
  <si>
    <t>RECOVERY: blueprints shared by fax; 200+ suppliers adapt their machines to produce P-valves</t>
  </si>
  <si>
    <t>Toyota guarantees purchase of surplus; distributes 1% Tier-1 sales as compensation</t>
  </si>
  <si>
    <t>Raw materials → N1 Aisin</t>
  </si>
  <si>
    <t>N1 Aisin manufacturing</t>
  </si>
  <si>
    <t>N1 → N4 Toyota plants</t>
  </si>
  <si>
    <t>N4 Toyota assembly</t>
  </si>
  <si>
    <t>N4 → N6 Dealers/customers</t>
  </si>
  <si>
    <t>N3 Supplier network (recovery)</t>
  </si>
  <si>
    <t>N7 Toyota (financial backstop)</t>
  </si>
  <si>
    <t>Very High (short-term); offset by rapid recovery</t>
  </si>
  <si>
    <t>~2–3 days buffer → zero within hours of fire</t>
  </si>
  <si>
    <t>Lower (fewer vehicles produced during shutdown)</t>
  </si>
  <si>
    <t>High (idle assembly lines; scrapped in-process vehicles)</t>
  </si>
  <si>
    <t>Reduced (delivery delays); recovered quickly</t>
  </si>
  <si>
    <t>Very High (realised) — sole-source, JIT, no contingency</t>
  </si>
  <si>
    <t>P-valve quality maintained during recovery (100% inspection)</t>
  </si>
  <si>
    <t>Minimal dedicated molds destroyed; broader environmental neutral</t>
  </si>
  <si>
    <t>Low — not material to this case</t>
  </si>
  <si>
    <t>P-valve daily output (normal)</t>
  </si>
  <si>
    <t>Buffer stock (JIT)</t>
  </si>
  <si>
    <t>Toyota assembly plants at risk</t>
  </si>
  <si>
    <t>Vehicles at risk</t>
  </si>
  <si>
    <t>Estimated Toyota financial loss</t>
  </si>
  <si>
    <t>Suppliers in recovery network</t>
  </si>
  <si>
    <t>Assembly plant downtime</t>
  </si>
  <si>
    <t>P-valve production restored</t>
  </si>
  <si>
    <t>32,500 units/day (Aisin sole source)</t>
  </si>
  <si>
    <t>~2–3 days of P-valve supply</t>
  </si>
  <si>
    <t>All 20 plants in Japan</t>
  </si>
  <si>
    <t>~70,000</t>
  </si>
  <si>
    <t>~$195M from the shutdown</t>
  </si>
  <si>
    <t>200+ firms (Toyota group + others)</t>
  </si>
  <si>
    <t>1 February 1997 before dawn: fire breaks out at Aisin Seiki Factory No. 10, Kariya, Japan. Cause reportedly unknown. By 8:52 AM: P-valve production lines, clutch master cylinder lines, tandem master cylinder lines almost completely destroyed. 6,000+ molds lost. Special-purpose machinery destroyed (months to reorder). SOLE P-valve source = gone.</t>
  </si>
  <si>
    <t>Fire physically destroyed the only production facility making P-valves for Toyota. Aisin was the SOLE SOURCE of P-valves for ALL Toyota vehicles. JIT left only ~2–3 days of buffer. No contingency plan existed. Single-sourcing under JIT = catastrophic vulnerability.</t>
  </si>
  <si>
    <t>Near-total shutdown of the entire Toyota production network in Japan within days — averted only by unprecedented network self-organisation.</t>
  </si>
  <si>
    <t>Sole-source JIT with zero buffer = complete production halt if that one supplier fails.</t>
  </si>
  <si>
    <t>Activate crisis management team immediately</t>
  </si>
  <si>
    <t>Share P-valve blueprints with 200+ suppliers (by fax)</t>
  </si>
  <si>
    <t>Guarantee buy-back of surplus inventory</t>
  </si>
  <si>
    <t>Distribute 1% Tier-1 sales as compensation</t>
  </si>
  <si>
    <t>Self-organised supplier improvisation (200+ firms)</t>
  </si>
  <si>
    <t>100% manual quality inspection of improvised parts</t>
  </si>
  <si>
    <t>Multi-source P-valve supply (post-crisis, long-term)</t>
  </si>
  <si>
    <t>Invest in supplier relationship depth (structural)</t>
  </si>
  <si>
    <t>Mobilise response; share P-valve specs with all potential recovery suppliers</t>
  </si>
  <si>
    <t>Fax technical drawings to every supplier capable of potential P-valve production</t>
  </si>
  <si>
    <t>Remove financial risk from suppliers improvising P-valve production</t>
  </si>
  <si>
    <t>Compensate suppliers for losses incurred during disruption</t>
  </si>
  <si>
    <t>Adapt existing machines; improvise P-valve production without central direction</t>
  </si>
  <si>
    <t>Inspect every P-valve before dispatch — no batch sampling</t>
  </si>
  <si>
    <t>Qualify additional P-valve suppliers to end sole-source dependency</t>
  </si>
  <si>
    <t>Deepen trust, shared standards and engineering knowledge across supplier network</t>
  </si>
  <si>
    <t>Low (org)</t>
  </si>
  <si>
    <t>Low-Med (liability)</t>
  </si>
  <si>
    <t>Medium (engineering effort)</t>
  </si>
  <si>
    <t>Medium (labour)</t>
  </si>
  <si>
    <t>Immediate</t>
  </si>
  <si>
    <t>Post-crisis</t>
  </si>
  <si>
    <t>Days</t>
  </si>
  <si>
    <t>Continuous</t>
  </si>
  <si>
    <t>Enabled</t>
  </si>
  <si>
    <t>Partial (immediate)</t>
  </si>
  <si>
    <t>Partial→High</t>
  </si>
  <si>
    <t>First response — always; speed of activation determines downstream options</t>
  </si>
  <si>
    <t>Critical path: without specs, no supplier can begin improvisation</t>
  </si>
  <si>
    <t>Suppliers won't risk capital on improvised production without this guarantee</t>
  </si>
  <si>
    <t>Reinforces network trust for future crises; makes the relationship investment tangible</t>
  </si>
  <si>
    <t>Network trust + shared engineering knowledge makes this possible; impossible without them</t>
  </si>
  <si>
    <t>Safety-critical brake component — 100% inspection is non-negotiable</t>
  </si>
  <si>
    <t>After sole-source vulnerability realised — structural fix to prevent recurrence</t>
  </si>
  <si>
    <t>The capability that enabled recovery must be cultivated continuously</t>
  </si>
  <si>
    <t>D1 Activate crisis team</t>
  </si>
  <si>
    <t>D2 Share blueprints (fax)</t>
  </si>
  <si>
    <t>D3 Buy-back guarantee</t>
  </si>
  <si>
    <t>D4 1% Tier-1 compensation</t>
  </si>
  <si>
    <t>D5 Supplier improvisation</t>
  </si>
  <si>
    <t>D6 100% quality inspection</t>
  </si>
  <si>
    <t>D7 Multi-source P-valve</t>
  </si>
  <si>
    <t>D8 Supplier relationship</t>
  </si>
  <si>
    <t>P-valve output</t>
  </si>
  <si>
    <t>Plants running</t>
  </si>
  <si>
    <t>Vehicles/day</t>
  </si>
  <si>
    <t>Network activation</t>
  </si>
  <si>
    <t>32,500/day (sole source)</t>
  </si>
  <si>
    <t>~2–3 days</t>
  </si>
  <si>
    <t>All 20 running</t>
  </si>
  <si>
    <t>Normal rate</t>
  </si>
  <si>
    <t>Not needed</t>
  </si>
  <si>
    <t>Disruption (day 1)</t>
  </si>
  <si>
    <t>~2–3 days (countdown)</t>
  </si>
  <si>
    <t>All 20 halting</t>
  </si>
  <si>
    <t>Activated</t>
  </si>
  <si>
    <t>Days (unknown)</t>
  </si>
  <si>
    <t>Recovery (days 2–5)</t>
  </si>
  <si>
    <t>0 → 32,500/day (improvised)</t>
  </si>
  <si>
    <t>Depleting → restoring</t>
  </si>
  <si>
    <t>Partial → Full</t>
  </si>
  <si>
    <t>200+ firms active</t>
  </si>
  <si>
    <t>~5 days total</t>
  </si>
  <si>
    <t>Managed</t>
  </si>
  <si>
    <t>Post-crisis (structural)</t>
  </si>
  <si>
    <t>32,500/day (multi-sourced)</t>
  </si>
  <si>
    <t>Higher buffers</t>
  </si>
  <si>
    <t>Full</t>
  </si>
  <si>
    <t>Ready</t>
  </si>
  <si>
    <t>&lt;2 days (target)</t>
  </si>
  <si>
    <t>Lower (structural)</t>
  </si>
  <si>
    <t>Trust capital</t>
  </si>
  <si>
    <t>High (built over years)</t>
  </si>
  <si>
    <t>High (now deployed)</t>
  </si>
  <si>
    <t>High (demonstrated)</t>
  </si>
  <si>
    <t>High + deepened</t>
  </si>
  <si>
    <t>D2 Share blueprints immediately</t>
  </si>
  <si>
    <t>D5 Supplier improvisation network</t>
  </si>
  <si>
    <t>D7 Multi-source P-valve (LT)</t>
  </si>
  <si>
    <t>D8 Supplier relationship investment</t>
  </si>
  <si>
    <t>FIB-010</t>
  </si>
  <si>
    <t>Cisco Systems — $2.25B inventory write-down (2001): demand-signal distortion and the bullwhip effect</t>
  </si>
  <si>
    <t>Electronics / Networking Equipment / Technology</t>
  </si>
  <si>
    <t>Cisco Systems manufactures networking infrastructure (routers, switches, optical equipment). In the late 1990s it was the fastest-growing company in American corporate history. At its March 2000 peak, Cisco briefly became the most valuable company in the world (~$550B market cap).</t>
  </si>
  <si>
    <t>$2.25B inventory write-down; $2.69B quarterly loss (first loss in 11+ years); 8,000+ jobs cut; stock fell from $82 to $13. CEO John Chambers called it a '100-year flood.'</t>
  </si>
  <si>
    <t>N1 — End customers (telecoms/dot-coms)</t>
  </si>
  <si>
    <t>N2 — Cisco Systems (OEM)</t>
  </si>
  <si>
    <t>N3 — Contract manufacturers (global)</t>
  </si>
  <si>
    <t>N4 — Component suppliers (chips, boards, optical)</t>
  </si>
  <si>
    <t>N5 — Raw material suppliers</t>
  </si>
  <si>
    <t>N6 — Cisco warehouses / inventory</t>
  </si>
  <si>
    <t>Telecom companies and dot-com startups. Placed inflated, double, and speculative orders due to shortage gaming and unlimited VC cash.</t>
  </si>
  <si>
    <t>Outsourced manufacturers building Cisco networking equipment globally. Each operated independently on their own local forecast.</t>
  </si>
  <si>
    <t>Tier-2/3 suppliers producing custom chips, circuit boards, optical components — many custom-built for Cisco-specific products.</t>
  </si>
  <si>
    <t>Upstream materials (metals, silicon, fibre-optic glass).</t>
  </si>
  <si>
    <t>$2.25B of custom inventory accumulated — much of it scrapped and destroyed because it had no resale value.</t>
  </si>
  <si>
    <t>Dot-com / telecom customers place inflated/double/speculative orders (shortage gaming)</t>
  </si>
  <si>
    <t>Cisco aggregates orders; treats all as real demand; places amplified orders to contract manufacturers</t>
  </si>
  <si>
    <t>Contract manufacturers order components independently, each adding their own buffer</t>
  </si>
  <si>
    <t>Custom chips, boards, optical components produced to Cisco specs — not resaleable</t>
  </si>
  <si>
    <t>Dot-com bubble bursts (2000–2001); customer orders evaporate overnight</t>
  </si>
  <si>
    <t>Cisco discovers $2.25B of custom inventory with no customer; write-down; destroy most of it</t>
  </si>
  <si>
    <t>POST-CRISIS: e-hub built; all tiers see real demand simultaneously; bullwhip eliminated</t>
  </si>
  <si>
    <t>N1 Customers → N2 Cisco</t>
  </si>
  <si>
    <t>N2 Cisco → N3 Contract mfrs</t>
  </si>
  <si>
    <t>N3 → N4 Component suppliers</t>
  </si>
  <si>
    <t>N4 Component suppliers → N3/N2</t>
  </si>
  <si>
    <t>N1 Customers → Zero</t>
  </si>
  <si>
    <t>N2/N6 Cisco — catastrophe</t>
  </si>
  <si>
    <t>All nodes — shared visibility</t>
  </si>
  <si>
    <t>Very High ($2.25B write-down + $2.69B quarterly loss)</t>
  </si>
  <si>
    <t>Long (months advance orders due to component lead times) — amplified bullwhip</t>
  </si>
  <si>
    <t>High (massive manufacturing + scrapping/destruction of inventory)</t>
  </si>
  <si>
    <t>Catastrophic — $2.25B of custom inventory scrapped and destroyed</t>
  </si>
  <si>
    <t>Low during shortage; collapsed with customer companies</t>
  </si>
  <si>
    <t>Very High (realised) — demand-signal blindness + outsourced mfg + custom parts = maximum bullwhip exposure</t>
  </si>
  <si>
    <t>Not impacted — the product was fine; the demand disappeared</t>
  </si>
  <si>
    <t>Very High negative — mass destruction of manufactured goods</t>
  </si>
  <si>
    <t>Peak market cap</t>
  </si>
  <si>
    <t>Inventory write-down</t>
  </si>
  <si>
    <t>Quarterly loss (Q3 FY2001)</t>
  </si>
  <si>
    <t>Jobs cut</t>
  </si>
  <si>
    <t>Stock price fall</t>
  </si>
  <si>
    <t>Excess inventory nature</t>
  </si>
  <si>
    <t>Bullwhip amplification</t>
  </si>
  <si>
    <t>Demand visibility (pre-crisis)</t>
  </si>
  <si>
    <t>$2.25B (May 2001)</t>
  </si>
  <si>
    <t>$2.69B — first loss in 11+ years</t>
  </si>
  <si>
    <t>8,000+</t>
  </si>
  <si>
    <t>$82 → $13</t>
  </si>
  <si>
    <t>Custom-built; no resale value; most scrapped and destroyed</t>
  </si>
  <si>
    <t>Each tier of the supply chain added its own buffer on inflated signals</t>
  </si>
  <si>
    <t>Near-zero — each tier operated on its own local forecast</t>
  </si>
  <si>
    <t>Dot-com bubble collapse, 2000–2001: telecom and dot-com customers — Cisco's entire customer base — simultaneously stopped spending. Orders placed under speculative/double-ordering conditions were cancelled en masse.</t>
  </si>
  <si>
    <t>Cisco's own ERP was blind to upstream production. It saw orders coming in (inflated) and warehouse stock (finite). It did not see the $2.25B being built in contract manufacturer pipelines against those inflated orders.</t>
  </si>
  <si>
    <t>Accept 'uncontrollable forces' narrative</t>
  </si>
  <si>
    <t>Halt production when demand signals weakened</t>
  </si>
  <si>
    <t>Emergency inventory write-down</t>
  </si>
  <si>
    <t>Cut 8,000+ jobs</t>
  </si>
  <si>
    <t>Demand signal verification / anti-gaming protocols</t>
  </si>
  <si>
    <t>Build the e-hub (shared demand platform)</t>
  </si>
  <si>
    <t>Adopt CPFR with contract manufacturers</t>
  </si>
  <si>
    <t>Require demand signals from further up the VALUE CHAIN</t>
  </si>
  <si>
    <t>Attribute the disaster to the dot-com crash as unforeseeable — 'a 100-year flood'</t>
  </si>
  <si>
    <t>Stop contract manufacturers the moment demand anomalies appeared</t>
  </si>
  <si>
    <t>Acknowledge and write off $2.25B of stranded inventory</t>
  </si>
  <si>
    <t>Reduce workforce to match dramatically lower demand</t>
  </si>
  <si>
    <t>Identify double-ordering and shortage gaming; require firmer demand commitments</t>
  </si>
  <si>
    <t>Give all supply-chain tiers a common, real-time demand/inventory view simultaneously</t>
  </si>
  <si>
    <t>Collaborative Planning, Forecasting and Replenishment — share real demand data, not forecasts</t>
  </si>
  <si>
    <t>Monitor end-customer consumption (not just orders) as the true demand signal</t>
  </si>
  <si>
    <t>High (financial)</t>
  </si>
  <si>
    <t>High (human)</t>
  </si>
  <si>
    <t>Medium (platform)</t>
  </si>
  <si>
    <t>Fast (if acted)</t>
  </si>
  <si>
    <t>Long (build)</t>
  </si>
  <si>
    <t>Partially</t>
  </si>
  <si>
    <t>Never — a '100-year flood' framing closes off the structural lessons. The bullwhip conditions were visible and preventable.</t>
  </si>
  <si>
    <t>Requires real-time demand visibility — impossible without the e-hub. Highlights why D6 is the true structural fix.</t>
  </si>
  <si>
    <t>When inventory is worthless and delay only defers the inevitable — fast acknowledgement limits reputational damage.</t>
  </si>
  <si>
    <t>Unavoidable once demand collapsed — but the structural prevention (D6) would have made the scale of cuts smaller.</t>
  </si>
  <si>
    <t>After bullwhip dynamics identified — addresses the customer-side cause of signal inflation.</t>
  </si>
  <si>
    <t>After multi-tier signal distortion proven — the structural cure to the bullwhip, not a symptom treatment.</t>
  </si>
  <si>
    <t>After bullwhip shown to result from independent, non-shared forecasting at each tier.</t>
  </si>
  <si>
    <t>The real demand signal is what end customers consume, not what intermediate customers order.</t>
  </si>
  <si>
    <t>D1 Accept uncontrollable narrative</t>
  </si>
  <si>
    <t>D2 Halt production early</t>
  </si>
  <si>
    <t>D3 Emergency write-down</t>
  </si>
  <si>
    <t>D4 Cut 8,000+ jobs</t>
  </si>
  <si>
    <t>D5 Demand signal verification</t>
  </si>
  <si>
    <t>D6 Build e-hub (KEY FIX)</t>
  </si>
  <si>
    <t>D7 Adopt CPFR</t>
  </si>
  <si>
    <t>D8 End-consumption monitoring</t>
  </si>
  <si>
    <t>Demand signal accuracy</t>
  </si>
  <si>
    <t>Inventory visibility</t>
  </si>
  <si>
    <t>Inventory level</t>
  </si>
  <si>
    <t>Quarterly profit</t>
  </si>
  <si>
    <t>Stock price</t>
  </si>
  <si>
    <t>Jobs</t>
  </si>
  <si>
    <t>Bullwhip risk</t>
  </si>
  <si>
    <t>Boom (1998–2000)</t>
  </si>
  <si>
    <t>Severely distorted (inflated 2–3×)</t>
  </si>
  <si>
    <t>Internal only</t>
  </si>
  <si>
    <t>Rapidly accumulating</t>
  </si>
  <si>
    <t>Record profits</t>
  </si>
  <si>
    <t>$82 peak</t>
  </si>
  <si>
    <t>Growing</t>
  </si>
  <si>
    <t>Very High (unrecog.)</t>
  </si>
  <si>
    <t>Crash (2001)</t>
  </si>
  <si>
    <t>Zero (orders evaporated)</t>
  </si>
  <si>
    <t>$2.25B stranded</t>
  </si>
  <si>
    <t>−$2.69B loss</t>
  </si>
  <si>
    <t>$13</t>
  </si>
  <si>
    <t>−8,000</t>
  </si>
  <si>
    <t>Realised catastrophically</t>
  </si>
  <si>
    <t>Post-crisis (e-hub)</t>
  </si>
  <si>
    <t>Real-time (shared across all tiers)</t>
  </si>
  <si>
    <t>Full (all tiers)</t>
  </si>
  <si>
    <t>Stabilised</t>
  </si>
  <si>
    <t>Structurally eliminated</t>
  </si>
  <si>
    <t xml:space="preserve">Supply-Chain </t>
  </si>
  <si>
    <t>D6 Build e-hub — shared demand platform</t>
  </si>
  <si>
    <t>Reduced cost</t>
  </si>
  <si>
    <t>Reduced (long-term)</t>
  </si>
  <si>
    <t>Reduced (quality risk)</t>
  </si>
  <si>
    <t>Reduced LT</t>
  </si>
  <si>
    <t>Reduced quality</t>
  </si>
  <si>
    <t>• Nokia detected the problem in ~3 days, locked up spare capacity, and grew market share · • Ericsson waited weeks, lost ~$400M directly and ~$1.68–2.34B for the full year · • Ericsson exited standalone handsets (Sony Ericsson JV) · • Became the foundational supply chain resilience case worldwide</t>
  </si>
  <si>
    <t>• Same shock, opposite outcomes — proves resilience is built before a crisis, not during it · • Ericsson lost ~$400M in direct sales from a single 10-minute fire · • Nokia grew profits ~42% that year by acting in days · • The decisive lesson: first mover wins scarce capacity</t>
  </si>
  <si>
    <t>• Inventory accuracy lifted from ~65% to ~99% · • Design-to-store runs ~2–3 weeks vs 6–9 months industry norm · • Markdowns ~15–20% vs 30–40% industry average · • Inditex posted €38.6B sales (+7.5%) in FY2024 on a higher-cost proximity model · • Proved responsiveness can beat lowest-cost sourcing</t>
  </si>
  <si>
    <t>• RFID lifting accuracy from ~65% to ~99% unlocked AI demand planning · • Speed + data out-earns cheap-and-slow sourcing · • Real-world proof that digitising one weak link (data accuracy) transforms the whole chain · • Zara earns more margin than rivals on higher unit costs</t>
  </si>
  <si>
    <t>• Proved deep vertical integration + software-defined manufacturing can outperform legacy OEMs · • During 2020–23 chip shortage Tesla rewrote firmware to swap chips and grew production ~83% while rivals cut output · • Industry lost ~$210B / ~7.7M units that year · • Tesla scaled to 1.85M vehicles (2023) · • Drove Gigacasting adoption across the industry</t>
  </si>
  <si>
    <t>• Controlling ~80% of the supply chain builds real resilience · • Tesla grew production ~83% in 2021 while GM, Ford and VW cut output · • A tech startup out-produced century-old automakers by owning software + batteries + sales · • Direct proof that software flexibility is a faster crisis tool than buffer stock</t>
  </si>
  <si>
    <t>• European reference model for the ultra-low-cost carrier · • FY2024 record net profit €1.92B on 184M passengers — most passengers of any European airline · • Operating margin ~11.2% vs Lufthansa Group ~3.9% (roughly 3× the legacy margin) · • Scaled Southwest's LCC playbook across a fragmented continent</t>
  </si>
  <si>
    <t>• A budget service supply chain out-earns premium rivals per unit · • ~11.2% operating margin vs Lufthansa ~3.9% — shows cost discipline beats premium pricing · • Fleet commonality, ~25-min turns, ~80% fuel hedging and ~34% ancillary revenue all work together · • Proves standardisation is itself a supply chain strategy</t>
  </si>
  <si>
    <t>FIB-011</t>
  </si>
  <si>
    <t>FIB-012</t>
  </si>
  <si>
    <t>FIB-013</t>
  </si>
  <si>
    <t>FIB-014</t>
  </si>
  <si>
    <t>Automotive Manufacturing</t>
  </si>
  <si>
    <t>Toyota — Great East Japan Earthquake / Fukushima (2011) and the RESCUE resilience programme</t>
  </si>
  <si>
    <t>Japan Assembly Plants, Tier-1 Suppliers, Sub-tier Suppliers, Semiconductors, Overseas Plants</t>
  </si>
  <si>
    <t>9.0 earthquake + tsunami devastated Tohoku region; Toyota had no visibility beyond Tier-1 suppliers</t>
  </si>
  <si>
    <t>• Toyota output fell 78% YoY in April 2011 · • Built the RESCUE sub-tier supplier database — assessment time cut from 2 weeks to half a day · • BCP mandated 2–6 months buffer for ~500 priority parts · • In 2021 chip shortage, Toyota maintained output while GM/VW/Ford cut production · • February 2021 Fukushima repeat earthquake had "significantly lower impact"</t>
  </si>
  <si>
    <t>• Shows modified JIT: resilience and efficiency are not opposites · • Assessment time cut 96% (2 weeks → half a day) through the RESCUE database · • Toyota's 2011 investment paid off in 2021 when rivals lost $210B in output · • Textbook case: decisive choices are made before the shock, not during it</t>
  </si>
  <si>
    <t>Food / Quick Service Restaurant (QSR)</t>
  </si>
  <si>
    <t>KFC UK — 2018 chicken shortage: single distribution centre failure closed ~70% of stores</t>
  </si>
  <si>
    <t>DHL Rugby Depot, Road Network, Restaurants, Franchise Owners, Farmers (~500), Customers</t>
  </si>
  <si>
    <t>Switch from 6 Bidvest warehouses to 1 new DHL depot; M6 road accidents on day one blocked all outbound routes</t>
  </si>
  <si>
    <t>• 604 of 870 UK stores closed at peak (~70%) · • ~£1M/day revenue loss · • FCK apology campaign reached 797M+ audience; won Cannes Lions Grand Prix · • KFC's market share actually ROSE to 8.1% (2019) from 7.3% (2017) after the crisis · • Now the canonical case for logistics redundancy in food service</t>
  </si>
  <si>
    <t>• Six warehouses to one warehouse is not efficiency if it shuts 900 restaurants · • Shows false economy: DHL's lower bid cost multiples of the savings · • The FCK ad is the only documented case of a brand gaining market share after closing 70% of its stores · • Real-world proof that crisis communication can reverse supply chain brand damage</t>
  </si>
  <si>
    <t>Automotive / Tire Manufacturing</t>
  </si>
  <si>
    <t>Firestone/Ford — ATX &amp; Wilderness AT tire recall (2000): tread separation, 271 US deaths, the TREAD Act</t>
  </si>
  <si>
    <t>Firestone Decatur Plant, Warranty/QC Systems, Ford Explorer Design, NHTSA, Consumers</t>
  </si>
  <si>
    <t>Firestone Decatur plant produced defective tires; both companies suppressed warranty data for ~4 years; media investigation forced action</t>
  </si>
  <si>
    <t>• 271 US deaths + 46 in Venezuela · • 6.5M initial recall + 13M extended recall · • 100-year Ford–Firestone relationship ended permanently · • TREAD Act 2000 — mandated early warning reporting + tyre pressure monitoring systems (TPMS) in all new US vehicles · • TPMS is now standard in every new passenger car in the world</t>
  </si>
  <si>
    <t>• 258 preventable deaths occurred AFTER 1996, when both companies already knew · • Firestone warranty data had the proof from 1996 — suppressing it killed people · • The Decatur plant had higher failure rates than sister plants — proves plant-level traceability is essential · • Directly created legislation (TREAD Act) that affects every car sold in the US today</t>
  </si>
  <si>
    <t>1997 Aisin Seiki fire — Toyota's entire production network at risk; self-organised 200-firm recovery</t>
  </si>
  <si>
    <t>Aisin Kariya Plant, Toyota Assembly Plants (20), 200+ Supplier Network, Dealers</t>
  </si>
  <si>
    <t>Fire destroyed the only plant making Toyota's P-valve brake component; JIT left only ~2–3 days of stock</t>
  </si>
  <si>
    <t>• 200+ firms self-organised WITHOUT central direction to restore production in ~5 days · • 32,500 P-valves/day restored through improvised production across the network · • ~70,000 vehicles were at risk; ~$195M estimated Toyota loss · • Became the canonical academic case for network resilience (Nishiguchi &amp; Beaudet 1998, MIT SMR) · • Proved that trust and relational capital are measurable supply chain assets</t>
  </si>
  <si>
    <t>• Entire recovery coordinated only by fax and phone — no digital tools · • 200 competing companies shared machines, workers and knowledge to save the network · • Proves resilience is a network property, not a company property · • Direct contrast with Ericsson (FIB-001): same type of shock, but Ericsson had no network to absorb it</t>
  </si>
  <si>
    <t>Electronics / Networking Equipment</t>
  </si>
  <si>
    <t>Cisco — $2.25B inventory write-down (2001): the definitive bullwhip effect case</t>
  </si>
  <si>
    <t>End Customers (Telecoms/Dot-coms), Cisco, Contract Manufacturers, Custom Component Suppliers, Cisco Warehouses</t>
  </si>
  <si>
    <t>Dot-com bubble burst; customers who had double-ordered and speculative-ordered cancelled all orders at once; Cisco had built $2.25B of custom inventory with zero resale value</t>
  </si>
  <si>
    <t>• $2.25B write-down — largest inventory write-down in history at the time · • $2.69B quarterly loss — first loss in 11+ years · • Stock fell from $82 to $13; 8,000+ jobs lost · • Cisco built the e-hub: shared real-time demand platform across all supply chain tiers · • CPFR (Collaborative Planning, Forecasting and Replenishment) adopted industry-wide</t>
  </si>
  <si>
    <t>• Bullwhip effect amplified tiny demand signals into $2.25B of worthless inventory · • Each supply chain tier added its own buffer on top of already-inflated forecasts · • Custom-built inventory meant 100% of excess had to be scrapped — no resale value · • The fix (e-hub, shared demand visibility) is now standard in every modern supply chain platform</t>
  </si>
  <si>
    <t>Logistics / Shipping</t>
  </si>
  <si>
    <t>Maersk — NotPetya cyberattack (2017) halted global container shipping operations</t>
  </si>
  <si>
    <t>IT Infrastructure, 76 Port Terminals, Booking/Tracking Platform, Ship Loading Systems, Internal Comms</t>
  </si>
  <si>
    <t>State-linked NotPetya wiper entered via a single infected Ukrainian tax software update; wiped all domain controllers and backups in hours</t>
  </si>
  <si>
    <t>• All 20% of global container trade handled by Maersk was disrupted · • ~$250–300M loss; 4,000 servers + 45,000 PCs + 2,500 apps rebuilt in 10 days · • Defined cyber risk as a supply chain risk, not just an IT risk · • The Ghana server — saved by a power cut — was the only thing preventing total collapse · • Set the standard for corporate cyber-incident transparency</t>
  </si>
  <si>
    <t>• A single software update from a tax vendor wiped a 130-country company in hours · • ~$250–300M loss from one infected computer in Ukraine · • The Ghana backup story shows why offline, air-gapped backups are non-negotiable · • First case to prove that a cyberattack on a logistics node is a global trade disruption event</t>
  </si>
  <si>
    <t>FIB-015</t>
  </si>
  <si>
    <t>Sheffi, Y. &amp; Rice, J.B. (2005). A Supply Chain View of the Resilient Enterprise. MIT Sloan Management Review 47(1). (open PDF, web.mit.edu)</t>
  </si>
  <si>
    <t>Norrman, A. &amp; Jansson, U. (2004). Ericsson's proactive SCRM after a serious sub-supplier accident. IJPDLM 34(5), 434–456. DOI:10.1108/09600030410545463 (paywalled).</t>
  </si>
  <si>
    <t>Latour, A. (2001). Trial by Fire. The Wall Street Journal, 29 Jan 2001 (original reporting).</t>
  </si>
  <si>
    <t>Ericsson corporate history; Fast Company 'The $2 Billion Fire' (2012).</t>
  </si>
  <si>
    <t>Ferdows, Lewis &amp; Machuca (2004). Rapid-Fire Fulfillment. Harvard Business Review 82(11).</t>
  </si>
  <si>
    <t>Caro, F. &amp; Gallien, J. (2010, Interfaces 40(1); 2012, Operations Research 60(6)) — allocation &amp; markdown optimisation.</t>
  </si>
  <si>
    <t>Inditex FY2024 Results &amp; Annual Report 2024 (inditex.com); WEF (2019); Impinj/Tyco Zara RAIN RFID case; Klover.ai (IOP).</t>
  </si>
  <si>
    <t>Tesla SEC filings — Q4-2023 &amp; Q4-2024 8-K (production/deliveries/energy); Q1-2024 8-K (Red Sea/Berlin, days-of-supply); 2022/2023 10-K (sole-source deps).</t>
  </si>
  <si>
    <t>Supplychain360 (2025); FourWeekMBA (2026); Eightception (2025) — vertical-integration mechanics.</t>
  </si>
  <si>
    <t>MDPI Sustainability 12(5), 2044 (2020) DOI:10.3390/su12052044 — Gigafactory digital-twin framing. Williamson (1985) — TCE theory.</t>
  </si>
  <si>
    <t>Ryanair Sustainability Report 2025 &amp; FY2024/25 investor results (corporate.ryanair.com) — profit/pax, Gamechanger, SAF, hedging.</t>
  </si>
  <si>
    <t>CAPA (2024) European airline operating-margin rankings; Ryanair FY2024 results (net €1.92bn / 184M pax).</t>
  </si>
  <si>
    <t>Silicon Republic (2016/2017); Future Travel Experience (2022/2025); Comtrade — Ryanair Labs, myRyanair, Brainer. Umbrex/Latterly profiles.</t>
  </si>
  <si>
    <t>BleepingComputer (Jan 2018) — 45,000 PCs / 4,000 servers / 10 days; Chairman Snabe Davos speech; $250–300M; 20% volume drop. https://www.bleepingcomputer.com/news/security/maersk-reinstalled-45-000-pcs-and-4-000-servers-to-recover-from-notpetya-attack/</t>
  </si>
  <si>
    <t>Control Engineering — M.E.Doc entry in Odessa; loading-system shutdown; total NotPetya $10B; Tom Bossert 'nuclear bomb' quote. https://www.controleng.com/throwback-attack-how-notpetya-accidentally-took-down-global-shipping-giant-maersk/</t>
  </si>
  <si>
    <t>Wired (Andy Greenberg, 2018) — 'The Untold Story of NotPetya' — the definitive long-form primary narrative.</t>
  </si>
  <si>
    <t>Maersk Q2 2017 Earnings Report — primary financial disclosure ($200–300M range); 'significant business interruption'.</t>
  </si>
  <si>
    <t>SOS Intelligence (2024) — cybersecurity best practices analysis; isolated backup design principle. https://sosintel.co.uk/case-study-maersks-response-to-notpetya/</t>
  </si>
  <si>
    <t>Matsuo, H. (2015). Implications of the Tohoku earthquake for Toyota's coordination mechanism: Supply chain disruption of automotive semiconductors. International Journal of Production Economics, 161, 217–227. DOI: 10.1016/j.ijpe.2014.07.003 — primary academic anchor.</t>
  </si>
  <si>
    <t>Supply Chain Dive (May 2021) — 78% production fall (Matsuo 2015); BCP 2–6 months; CFO Kon semiconductor quotes. https://www.supplychaindive.com/news/toyota-semiconductor-shortage-earthquake-inventory-ihs-gartner-forecast-2022/600193/</t>
  </si>
  <si>
    <t>Automotive Logistics (March 2021) — half-day vs two-weeks; RESCUE system; February 2021 Fukushima test. https://www.automotivelogistics.media/oems/a-stronger-supply-chain-since-fukushima/189342</t>
  </si>
  <si>
    <t>Supply Chain Nuggets (Nov 2025) — 500 priority parts; 2-week BCP target; modified JIT / Sodhi &amp; Choi. https://supplychainnuggets.com/lessons-from-toyotas-just-in-time-revamp/</t>
  </si>
  <si>
    <t>Toyota Annual Report 2012 — BCP revision; output figures; Thailand floods. https://www.toyota-global.com/pages/contents/investors/ir_library/annual/pdf/2012/p30_31.pdf</t>
  </si>
  <si>
    <t>Toyota USA Newsroom (April 2011) — production recovery timeline. https://pressroom.toyota.com/toyota-timeline-restoring-normal-production-april-2011/</t>
  </si>
  <si>
    <t>US CRS Report R41831 (2011) — 150 parts shortage; 30% North America capacity; GM retaking sales lead. https://www.everycrsreport.com/reports/R41831.html</t>
  </si>
  <si>
    <t>Ceres Shop — M6 accident timing; Rugby depot; Samir Dani 'perfect storm' analysis; spoilage reports. https://ceres.shop/blog/the-saga-of-the-2018-kfc-chicken-shortage/</t>
  </si>
  <si>
    <t>About Resilience — GMB warning; DHL/QSL contract details; YouGov data; full-year financial figures (turnover £445.7M → £207.3M; PAT -27.8%). https://www.aboutresilience.com/humor-and-humility-saved-the-chicken-the-kfc-logistics-blunder/</t>
  </si>
  <si>
    <t>FCSI (Foodservice Consultants) — former DHL operations director Gerry Brown expert analysis of root causes; 'plan for failure' quote; domain-knowledge issue. https://www.fcsi.org/foodservice-consultant/eame/kfc-supply-chain-fail/</t>
  </si>
  <si>
    <t>Supply Chain Nuggets — long-term structural changes; Booker/Tesco 2020 partnership; 300 new DHL jobs. https://supplychainnuggets.com/lessons-from-kfcs-supplier-change-issues-in-the-uk/</t>
  </si>
  <si>
    <t>Newsworks — £1M/day revenue loss; 733 press articles from FCK ad; reach of 797M + 219M social. https://newsworks.org.uk/planning/case-studies/kfc-the-great-chicken-crisis/</t>
  </si>
  <si>
    <t>YouGov BrandIndex — net sentiment -17% to +31%; market share 7.3% (2017) to 8.1% (2019). (via About Resilience and YourStory sources)</t>
  </si>
  <si>
    <t>YourStory (April 2025) — day-by-day timeline; Valentine's Day context; police calls; microsite response. https://yourstory.com/2025/04/kfc-shut-750-branches-2018-mind-bending-business-case-study</t>
  </si>
  <si>
    <t>NHTSA Investigation EA00-023 (primary regulatory document — tread separation analysis; Decatur failure rates; Wilson/Joliette data; 26 psi issue). https://www.nhtsa.gov/sites/nhtsa.gov/files/firestonereport.pdf</t>
  </si>
  <si>
    <t>Wikipedia — Firestone and Ford tire controversy (comprehensive timeline; TREAD Act; 271 deaths; attorney hotline suppression). https://en.wikipedia.org/wiki/Firestone_and_Ford_tire_controversy</t>
  </si>
  <si>
    <t>Center for Auto Safety — Congressional testimony; 6.5M vs 14.4M recall distinction; overseas replacement timeline. https://www.autosafety.org/ford-explorer-firestone-tire/</t>
  </si>
  <si>
    <t>Public Citizen (2001) — The Real Root Cause of the Ford-Firestone Tragedy; 184 deaths figure; 16-inch tire scope issue. https://www.citizen.org/wp-content/uploads/rootcause.pdf</t>
  </si>
  <si>
    <t>EBSCO Research Starters — Decatur plant closure; John Lampe CEO; phased recall timeline. https://www.ebsco.com/research-starters/history/bridgestonefirestone-announces-massive-recall</t>
  </si>
  <si>
    <t>Forensic Group — MDL 1373 litigation summary; rollover sequence; inflation guidance disputes. https://www.forensisgroup.com/resources/expert-legal-witness-blog/accident-reconstruction-in-the-ford-firestone-tire-recall</t>
  </si>
  <si>
    <t>Safety Research &amp; Strategies (2009) — post-recall Explorer rollover deaths analysis; long-term failure to reduce fatality rate. https://www.safetyresearch.net/tire-related-explorer-rollover-deaths-continue-to-climb/</t>
  </si>
  <si>
    <t>Connecticut General Assembly Research Report (2000) — live contemporaneous timeline; NHTSA death counts; Ford pressure recommendation. https://www.cga.ct.gov/2000/rpt/2000-R-1086.htm</t>
  </si>
  <si>
    <t>Nishiguchi, T. &amp; Beaudet, A. (1998). The Toyota Group and the Aisin Fire. MIT Sloan Management Review, 40(1), 49–59. PRIMARY ACADEMIC ANCHOR. https://shop.sloanreview.mit.edu/store/the-toyota-group-and-the-aisin-fire</t>
  </si>
  <si>
    <t>Academia.edu PDF — The Toyota group and the Aisin fire (full paper): https://www.academia.edu/784006/The_Toyota_group_and_the_Aisin_fire</t>
  </si>
  <si>
    <t>Wikipedia — 1997 Aisin fire (timeline; Factory No.10; P-valve function): https://en.wikipedia.org/wiki/1997_Aisin_fire</t>
  </si>
  <si>
    <t>LinkedIn/Mansuri — People &amp; Partners: Case of 1997 Aisin Fire (practitioner; recovery detail; 6,000 molds): https://www.linkedin.com/pulse/people-partners-case-1997-aisin-fire-toyota-system-mansuri</t>
  </si>
  <si>
    <t>NECSI — Information Flow Structure in Large-Scale Product Development Networks (32,500/day; 5-day recovery): https://necsi.edu/information-flow-structure-in-largescale-product-development-organizational-networks</t>
  </si>
  <si>
    <t>Supply Chain Nuggets (2025) — Learning from Cisco's $2.25B Inventory Collapse (e-hub; scrap/destroy; chambers '100-year flood'; 8,000 jobs; $82→$13): https://supplychainnuggets.com/learning-from-ciscos-2-25-billion-inventory-collapse/</t>
  </si>
  <si>
    <t>Supply Chain Math — The Bullwhip Effect (Cisco double/triple booking; $2.25B write-down; May 2001): https://supplychainmath.com/en/bullwhip-effect.html</t>
  </si>
  <si>
    <t>CIO Magazine — What Went Wrong at Cisco in 2001 (ERP limitations; Solvik quotes; macroeconomic complexity): https://www.cio.com/article/266552/it-organization-what-went-wrong-at-cisco-in-2001.html</t>
  </si>
  <si>
    <t>Scribd/Cisco Bullwhip PDF (e-hub response; CPFR; $2.25B write-down; artificially inflated forecasts): https://www.scribd.com/presentation/520015669/Cisco-bullwhip</t>
  </si>
  <si>
    <t>Lee, H.L., Padmanabhan, V. &amp; Whang, S. (1997). The Bullwhip Effect in Supply Chains. Harvard Business Review, 75(2). THEORETICAL ANCHOR — published same year as Aisin fire; Cisco 2001 is the canonical empirical case.</t>
  </si>
  <si>
    <t>SOURCES</t>
  </si>
  <si>
    <t xml:space="preserve">SOURCES </t>
  </si>
  <si>
    <t>Struct.Reduced</t>
  </si>
  <si>
    <t>Decisions Impact Summary - Self Analysis</t>
  </si>
  <si>
    <t>Real-time supplier health dashboard</t>
  </si>
  <si>
    <t>Mandatory dual-sourcing policy</t>
  </si>
  <si>
    <t>Pre-qualified alternate supplier contracts</t>
  </si>
  <si>
    <t>Modular product design standard</t>
  </si>
  <si>
    <t>Supplier BCP audit + fire suppression standard</t>
  </si>
  <si>
    <t>Business interruption insurance with operational triggers</t>
  </si>
  <si>
    <t>Build an IoT + API dashboard monitoring Philips fab uptime, yield rates and output daily</t>
  </si>
  <si>
    <t>Require two qualified suppliers for every chip used in &gt;5% of any product line</t>
  </si>
  <si>
    <t>Sign standby supply agreements with US + Japanese chip fabs before any crisis</t>
  </si>
  <si>
    <t>Mandate circuit-board designs that accept multiple chip variants from different vendors</t>
  </si>
  <si>
    <t>Require critical suppliers to demonstrate clean-room fire suppression and BCP compliance annually</t>
  </si>
  <si>
    <t>Purchase BI insurance that pays out when a named supplier loses &gt;20% output — not just when Ericsson has proven losses</t>
  </si>
  <si>
    <t>Structurally Reduced</t>
  </si>
  <si>
    <t>Financial hedge</t>
  </si>
  <si>
    <t>When critical components come from a single plant with no buffer</t>
  </si>
  <si>
    <t>After sole-source risk is identified; standard in aerospace/defence</t>
  </si>
  <si>
    <t>When lead time to qualify a new supplier exceeds crisis response window</t>
  </si>
  <si>
    <t>During new product development; retrofit is expensive but critical for resilience</t>
  </si>
  <si>
    <t>As part of annual supplier qualification review</t>
  </si>
  <si>
    <t>As a financial buffer alongside (not instead of) operational resilience measures</t>
  </si>
  <si>
    <t>Supplier health dashboard</t>
  </si>
  <si>
    <t>Dual-sourcing policy</t>
  </si>
  <si>
    <t>Pre-qualified standby contracts</t>
  </si>
  <si>
    <t>Modular product design</t>
  </si>
  <si>
    <t>Supplier BCP audit</t>
  </si>
  <si>
    <t>BI insurance (operational trigger)</t>
  </si>
  <si>
    <t>Predictive sustainability scoring per garment</t>
  </si>
  <si>
    <t>Attach a CO2, water and chemical score to every new design; use it in buying decisions</t>
  </si>
  <si>
    <t>When regulatory pressure (EU sustainability disclosure) forces transparency</t>
  </si>
  <si>
    <t>AI-powered returns optimisation</t>
  </si>
  <si>
    <t>Use ML to predict which items will be returned and pre-position reverse logistics accordingly</t>
  </si>
  <si>
    <t>When online returns exceed 15% of sales and logistics cost becomes material</t>
  </si>
  <si>
    <t>Supplier carbon tracking blockchain</t>
  </si>
  <si>
    <t>Require all tier-1/2 fabric suppliers to log carbon data on a shared blockchain ledger</t>
  </si>
  <si>
    <t>Significant reduction</t>
  </si>
  <si>
    <t>When EU Corporate Sustainability Reporting Directive applies to supply chain scope 3</t>
  </si>
  <si>
    <t>Dynamic micro-fulfilment centres</t>
  </si>
  <si>
    <t>Add 3–5 urban micro-DCs per major city to enable same-day delivery without air freight</t>
  </si>
  <si>
    <t>Greatly Improved</t>
  </si>
  <si>
    <t>When fast fashion competition from Shein/Temu forces faster last-mile delivery</t>
  </si>
  <si>
    <t>Customer co-design pilot</t>
  </si>
  <si>
    <t>Carbon-neutral logistics routing engine</t>
  </si>
  <si>
    <t>Let loyalty customers vote on colourways/fits each season via app; produce only voted designs</t>
  </si>
  <si>
    <t>Add CO2 cost as a weighted variable alongside time and monetary cost in all routing decisions</t>
  </si>
  <si>
    <t>Short</t>
  </si>
  <si>
    <t>When overproduction and markdown rates remain high despite AI forecasting</t>
  </si>
  <si>
    <t>When carbon taxes and EU Green Deal logistics rules increase cost of high-emission routes</t>
  </si>
  <si>
    <t>Sustainability scoring</t>
  </si>
  <si>
    <t>Returns optimisation AI</t>
  </si>
  <si>
    <t>Supplier carbon blockchain</t>
  </si>
  <si>
    <t>Micro-fulfilment DCs</t>
  </si>
  <si>
    <t>Customer co-design</t>
  </si>
  <si>
    <t>Carbon-neutral routing</t>
  </si>
  <si>
    <t>Significant reduced</t>
  </si>
  <si>
    <t>Greatly increased</t>
  </si>
  <si>
    <t>Cobalt-free battery chemistry acceleration</t>
  </si>
  <si>
    <t>Second-life battery marketplace</t>
  </si>
  <si>
    <t>Open-source Supercharger standard</t>
  </si>
  <si>
    <t>Predictive grid integration (V2G)</t>
  </si>
  <si>
    <t>Transparent raw material sourcing blockchain</t>
  </si>
  <si>
    <t>Real-time carbon footprint dashboard per vehicle</t>
  </si>
  <si>
    <t>AI-driven demand localisation</t>
  </si>
  <si>
    <t>Accelerate LFP (lithium iron phosphate) cell R&amp;D to eliminate cobalt from all vehicle lines by 2027</t>
  </si>
  <si>
    <t>Build a Tesla-managed platform for retired vehicle batteries to be resold into stationary storage</t>
  </si>
  <si>
    <t>Fully open the NACS charging standard to all EVs globally to accelerate EV adoption and utilise idle capacity</t>
  </si>
  <si>
    <t>Enable Vehicle-to-Grid bidirectional charging so Tesla fleets can stabilise grid and generate revenue for owners</t>
  </si>
  <si>
    <t>Publish a blockchain-verified map of lithium, cobalt and nickel origin for every vehicle produced</t>
  </si>
  <si>
    <t>Give every Tesla owner a live dashboard showing the carbon footprint of their vehicle over its entire lifecycle</t>
  </si>
  <si>
    <t>Use regional sales data and charging network utilisation to predict exact model-mix demand by country 6 months ahead</t>
  </si>
  <si>
    <t>High (R&amp;D)</t>
  </si>
  <si>
    <t>Significantly Reduced</t>
  </si>
  <si>
    <t>When cobalt price volatility or DRC supply chain ethics create reputational/cost risk</t>
  </si>
  <si>
    <t>When battery disposal regulations tighten and stationary storage demand grows</t>
  </si>
  <si>
    <t>When government incentives reward open charging infrastructure and competitors adopt the standard</t>
  </si>
  <si>
    <t>When electricity grid operators offer revenue-sharing for demand-response capacity</t>
  </si>
  <si>
    <t>When EU Battery Regulation 2023 mandates supply chain due diligence and carbon footprint disclosure</t>
  </si>
  <si>
    <t>When sustainability transparency becomes a purchase decision driver and ESG reporting is required</t>
  </si>
  <si>
    <t>When production mix mismatches create regional inventory imbalances or delivery delays</t>
  </si>
  <si>
    <t>Struct. Reduced</t>
  </si>
  <si>
    <t>Cobalt-free battery R&amp;D</t>
  </si>
  <si>
    <t>Second-life battery market</t>
  </si>
  <si>
    <t>Open Supercharger standard</t>
  </si>
  <si>
    <t>V2G predictive grid</t>
  </si>
  <si>
    <t>Raw material blockchain</t>
  </si>
  <si>
    <t>Carbon footprint dashboard</t>
  </si>
  <si>
    <t>Demand localisation AI</t>
  </si>
  <si>
    <t>SAF (Sustainable Aviation Fuel) co-investment fund</t>
  </si>
  <si>
    <t>AI predictive maintenance platform</t>
  </si>
  <si>
    <t>Airbus A321neo fleet diversification pilot</t>
  </si>
  <si>
    <t>Real-time ATC disruption rerouting system</t>
  </si>
  <si>
    <t>Join an airline consortium to co-fund SAF production capacity, securing long-term supply at agreed price</t>
  </si>
  <si>
    <t>Use ML on engine/airframe sensor data to predict component failures 30–90 days ahead; reduce AOG events</t>
  </si>
  <si>
    <t>Order 20–50 A321neo aircraft to reduce Boeing single-supplier dependency and access newer fuel-efficient engines</t>
  </si>
  <si>
    <t>Integrate live ATC capacity data and weather feeds into an AI that automatically proposes reroutings before delay occurs</t>
  </si>
  <si>
    <t>When EU ETS carbon costs make SAF cost-competitive vs Jet A1 on a total-cost basis</t>
  </si>
  <si>
    <t>When Boeing 737 fleet exceeds 200 aircraft and manual maintenance tracking becomes a liability</t>
  </si>
  <si>
    <t>When Boeing delivery delays or safety groundings threaten Ryanair's growth schedule</t>
  </si>
  <si>
    <t>When ATC strikes and slot congestion regularly cause reactionary delays across the network</t>
  </si>
  <si>
    <t>SAF co-investment fund</t>
  </si>
  <si>
    <t>AI predictive maintenance</t>
  </si>
  <si>
    <t>A321neo diversification</t>
  </si>
  <si>
    <t>ATC rerouting AI</t>
  </si>
  <si>
    <t>Zero-trust network architecture (pre-attack)</t>
  </si>
  <si>
    <t>Air-gapped immutable backup protocol</t>
  </si>
  <si>
    <t>Third-party software supply chain auditing</t>
  </si>
  <si>
    <t>Segment all IT infrastructure so that no single compromised node can propagate laterally across the global network</t>
  </si>
  <si>
    <t>Maintain offline, geographically dispersed backups with cryptographic integrity verification updated daily</t>
  </si>
  <si>
    <t>Before any software update is applied, verify vendor code integrity via a dedicated supply-chain security platform</t>
  </si>
  <si>
    <t>Before any major IT transformation or cloud migration; foundational for any 100k+ employee enterprise</t>
  </si>
  <si>
    <t>For any company where IT failure equals operational collapse — the Ghana accident must become a design standard</t>
  </si>
  <si>
    <t>When IT supply chain (tax software, ERP updates) is the entry point for nation-state cyber weapons</t>
  </si>
  <si>
    <t>Zero-trust architecture</t>
  </si>
  <si>
    <t>Air-gapped backup protocol</t>
  </si>
  <si>
    <t>Software supply chain audit</t>
  </si>
  <si>
    <t>AI-powered sub-tier visibility platform</t>
  </si>
  <si>
    <t>Climate risk scoring for supplier facility locations</t>
  </si>
  <si>
    <t>Digital twin of the full supply network</t>
  </si>
  <si>
    <t>Strategic buffer pooling with industry peers</t>
  </si>
  <si>
    <t>Predictive seismic risk modelling for facility siting</t>
  </si>
  <si>
    <t>Supplier financial health early-warning system</t>
  </si>
  <si>
    <t>Government-industry data sharing framework for disaster response</t>
  </si>
  <si>
    <t>Build an ML platform that maps every part to every supplier at every tier in real time, auto-updating when suppliers change</t>
  </si>
  <si>
    <t>Assign a climate risk score (flood, earthquake, tsunami, typhoon) to every supplier facility; use in dual-sourcing decisions</t>
  </si>
  <si>
    <t>Simulate the entire Toyota supply chain as a live digital twin; run disruption scenarios automatically when new risks appear</t>
  </si>
  <si>
    <t>Pool critical component buffers (semiconductors, P-valves) with other OEMs to share cost of strategic stock</t>
  </si>
  <si>
    <t>Use geological AI to model 50-year seismic risk before approving new supplier facilities in Japan</t>
  </si>
  <si>
    <t>Monitor supplier financial signals (credit ratings, payment delays, order reductions) to flag at-risk suppliers before they fail</t>
  </si>
  <si>
    <t>Establish a pre-agreed data-sharing protocol with METI and local governments to share supplier location and capacity data during national disasters</t>
  </si>
  <si>
    <t>After discovering sub-tier blindness is the core vulnerability; the RESCUE database was manual — AI makes it continuous</t>
  </si>
  <si>
    <t>When geographic clustering of suppliers in high-risk zones (Tohoku) is the structural vulnerability</t>
  </si>
  <si>
    <t>When manual assessment takes weeks; a digital twin compresses scenario planning to hours</t>
  </si>
  <si>
    <t>When buffer stock costs are prohibitive for one company but shared across 3–5 OEMs become manageable</t>
  </si>
  <si>
    <t>Before new supplier factories are sited; retrofit is expensive but forward-looking siting is low cost</t>
  </si>
  <si>
    <t>When supplier financial stress (not natural disaster) is the primary disruption risk; applies equally to all cases</t>
  </si>
  <si>
    <t>When national-scale disasters require cross-company coordination that no single firm can achieve alone</t>
  </si>
  <si>
    <t>Mandatory dual-DC model for chilled food</t>
  </si>
  <si>
    <t>Parallel-run transition protocol (minimum 8 weeks)</t>
  </si>
  <si>
    <t>Cold-chain IoT sensor monitoring</t>
  </si>
  <si>
    <t>AI route optimisation with automatic rerouting</t>
  </si>
  <si>
    <t>Require minimum two distribution centres for any chilled food network — no single node can serve the entire UK</t>
  </si>
  <si>
    <t>Mandate that any logistics provider change runs old and new systems in parallel for at least 8 weeks before cutover</t>
  </si>
  <si>
    <t>Install IoT temperature and humidity sensors in every trailer and DC; trigger automatic alerts if cold chain breaks</t>
  </si>
  <si>
    <t>Deploy AI routing that detects road closures, accidents and traffic in real time and automatically rereroutes trucks</t>
  </si>
  <si>
    <t>Before any logistics contract change; non-negotiable for perishable supply chains</t>
  </si>
  <si>
    <t>Before ANY distribution network transition — the hardest lesson from KFC: never go live without overlap</t>
  </si>
  <si>
    <t>When chilled food spoilage during distribution represents both food waste and brand risk</t>
  </si>
  <si>
    <t>When a single road incident near a sole DC can halt all deliveries — the M6 scenario must be pre-planned</t>
  </si>
  <si>
    <t>Supplier transition insurance</t>
  </si>
  <si>
    <t>Purchase specific logistics-transition insurance that covers lost franchisee revenue during a planned provider change</t>
  </si>
  <si>
    <t>Whenever a major logistics change is planned; premium is small relative to £1M/day exposure</t>
  </si>
  <si>
    <t>AI-powered warranty-data anomaly detection</t>
  </si>
  <si>
    <t>Plant-level manufacturing traceability (batch+machine)</t>
  </si>
  <si>
    <t>Mandatory international recall cross-reporting</t>
  </si>
  <si>
    <t>System-level OEM-supplier joint testing protocol</t>
  </si>
  <si>
    <t>Real-time field failure monitoring IoT</t>
  </si>
  <si>
    <t>Consumer safety reporting digital portal</t>
  </si>
  <si>
    <t>Product liability blockchain for traceability</t>
  </si>
  <si>
    <t>Apply ML to warranty claims in real time to flag failure-mode patterns by plant, batch and climate region</t>
  </si>
  <si>
    <t>Encode plant ID, machine ID, shift and batch number into every tire; enable field-failure attribution to production source</t>
  </si>
  <si>
    <t>Require OEMs and suppliers to disclose overseas recalls to domestic regulators within 30 days</t>
  </si>
  <si>
    <t>Require that safety-critical components are tested in the actual vehicle operating context, not in isolation</t>
  </si>
  <si>
    <t>Partner with fleet operators to install IoT tyre pressure and temperature sensors; feed field data back to QC teams in real time</t>
  </si>
  <si>
    <t>Build a publicly accessible, verified safety-defect reporting portal that feeds directly to NHTSA — bypassing attorney suppression</t>
  </si>
  <si>
    <t>Record every component, assembly, and QC inspection on an immutable blockchain so that liability attribution is instant and undeniable</t>
  </si>
  <si>
    <t>As soon as warranty data volumes allow ML — a 1996 model trained on Firestone data would have flagged Decatur within months</t>
  </si>
  <si>
    <t>Immediately; the Decatur vs Wilson/Joliette failure rate difference was invisible without this</t>
  </si>
  <si>
    <t>Always; Ford replaced tires in Venezuela while US consumers drove on the same ones — this gap cost lives</t>
  </si>
  <si>
    <t>At product launch and when OEM specifies different operating parameters than supplier recommends</t>
  </si>
  <si>
    <t>When a product's failure mode is heat and speed-activated — field sensors detect patterns faster than warranty claims</t>
  </si>
  <si>
    <t>When the existing hotline is suppressed by legal incentives — direct reporting reduces the suppression gap</t>
  </si>
  <si>
    <t>For safety-critical components; makes suppression structurally impossible and recall scope instantly definable</t>
  </si>
  <si>
    <t>Warranty AI anomaly detection</t>
  </si>
  <si>
    <t>International recall reporting</t>
  </si>
  <si>
    <t>System-level joint testing</t>
  </si>
  <si>
    <t>Field failure IoT monitoring</t>
  </si>
  <si>
    <t>Consumer safety portal</t>
  </si>
  <si>
    <t>Product liability blockchain</t>
  </si>
  <si>
    <t>Digital supplier network twin (instant alternate production finder)</t>
  </si>
  <si>
    <t>Shared CAD/blueprint cloud platform for crisis production</t>
  </si>
  <si>
    <t>Pre-signed mutual-aid agreements with top 50 suppliers</t>
  </si>
  <si>
    <t>3D printing as emergency bridge production</t>
  </si>
  <si>
    <t>Distributed buffer stock programme for sole-sourced parts</t>
  </si>
  <si>
    <t>Supplier financial resilience scoring</t>
  </si>
  <si>
    <t>IoT machine-capacity monitoring across the supplier network</t>
  </si>
  <si>
    <t>Build a platform that maps every supplier's machine types and available capacity; shows alternate P-valve producers in hours not days</t>
  </si>
  <si>
    <t>Store critical part blueprints on a secure cloud accessible to all qualified suppliers; eliminate fax-delay in crisis</t>
  </si>
  <si>
    <t>Formalise the 1997 self-organisation in advance: suppliers pre-agree to share capacity, machines and workers in a declared emergency</t>
  </si>
  <si>
    <t>Qualify 3D-printed P-valves as a bridge supply (for lower-stress applications) while main production recovers</t>
  </si>
  <si>
    <t>Hold a rolling 2-week buffer of every part with only one qualified supplier, distributed across multiple warehouses</t>
  </si>
  <si>
    <t>Monitor supplier financial health quarterly; flag at-risk suppliers before financial stress causes supply disruption</t>
  </si>
  <si>
    <t>Deploy IoT sensors on critical machines at top 20 suppliers to monitor real-time capacity, downtime and throughput</t>
  </si>
  <si>
    <t>Immediately after the 1997 recovery; fax coordination took days — a digital twin compresses this to hours</t>
  </si>
  <si>
    <t>After proving that blueprint sharing is the rate-limiting step in crisis recovery; cloud beats fax by days</t>
  </si>
  <si>
    <t>After proving that trust enables recovery; pre-signed agreements reduce the initiation delay from hours to minutes</t>
  </si>
  <si>
    <t>When conventional tooling destruction is total and 3D printing can cover partial output while tooling is rebuilt</t>
  </si>
  <si>
    <t>For all sole-sourced safety-critical components; the 2–3 day JIT buffer was the core structural vulnerability</t>
  </si>
  <si>
    <t>After sole-source fire risk is addressed; financial failure is the second most likely single-source disruption</t>
  </si>
  <si>
    <t>When manual capacity discovery (phone calls) is the slowest part of crisis response — real-time visibility eliminates it</t>
  </si>
  <si>
    <t>Digital supplier twin</t>
  </si>
  <si>
    <t>Shared CAD cloud platform</t>
  </si>
  <si>
    <t>Pre-signed mutual-aid agreements</t>
  </si>
  <si>
    <t>3D printing bridge production</t>
  </si>
  <si>
    <t>Distributed buffer stock</t>
  </si>
  <si>
    <t>Supplier financial scoring</t>
  </si>
  <si>
    <t>IoT capacity monitoring</t>
  </si>
  <si>
    <t>AI demand-signal deduplication (detect double-ordering in real time)</t>
  </si>
  <si>
    <t>Customer financial health monitoring (flag order risk early)</t>
  </si>
  <si>
    <t>Modular product design to reduce custom-only inventory</t>
  </si>
  <si>
    <t>Dynamic contract flexibility clauses</t>
  </si>
  <si>
    <t>Real-time end-consumption visibility (not just orders)</t>
  </si>
  <si>
    <t>Tiered inventory commitment system</t>
  </si>
  <si>
    <t>Supply chain digital twin stress-testing</t>
  </si>
  <si>
    <t>Build an ML system that cross-references orders across all channels to flag when the same end-customer is double-ordering</t>
  </si>
  <si>
    <t>Monitor credit ratings, VC funding rounds and revenue signals of Cisco's top 100 customers to flag demand risk 60–90 days early</t>
  </si>
  <si>
    <t>Design products with standardised subassemblies that can be configured at final assembly, reducing the custom-inventory write-down risk</t>
  </si>
  <si>
    <t>Include demand-collapse exit clauses in all manufacturing contracts allowing production halt within 2 weeks on verified demand signal collapse</t>
  </si>
  <si>
    <t>Connect directly to telco and ISP network utilisation data — actual traffic growth — as the true demand signal, not customer order books</t>
  </si>
  <si>
    <t>Implement a staged commitment model: 30% firm, 30% soft, 40% option-only — reducing hard inventory commitment to verified demand</t>
  </si>
  <si>
    <t>Run monthly demand-collapse scenarios on a supply-chain digital twin to identify inventory accumulation risk before it materialises</t>
  </si>
  <si>
    <t>As soon as order volumes enable pattern detection; the double-ordering mechanism was visible in the data</t>
  </si>
  <si>
    <t>When customer base consists of VC-funded startups and telecom companies with highly volatile spending</t>
  </si>
  <si>
    <t>At product design stage; the $2.25B write-down was catastrophic because custom parts had zero resale value</t>
  </si>
  <si>
    <t>Before the next major technology boom-bust cycle; fast production halt capability is the operational cure</t>
  </si>
  <si>
    <t>When customer orders are a lagging and distorted proxy for real end-market demand</t>
  </si>
  <si>
    <t>When demand uncertainty is high; options cost less than write-downs and preserve supplier relationships</t>
  </si>
  <si>
    <t>Before a demand peak; monthly stress-testing would have flagged $2.25B of accumulation risk in Q3 2000</t>
  </si>
  <si>
    <t>AI double-order detection</t>
  </si>
  <si>
    <t>Customer financial monitoring</t>
  </si>
  <si>
    <t>Dynamic contract flexibility</t>
  </si>
  <si>
    <t>End-consumption visibility</t>
  </si>
  <si>
    <t>Tiered inventory commitment</t>
  </si>
  <si>
    <t>Digital twin stress-testing</t>
  </si>
  <si>
    <t>Dual-DC mandatory model</t>
  </si>
  <si>
    <t>Parallel-run protocol</t>
  </si>
  <si>
    <t>Cold-chain IoT sensors</t>
  </si>
  <si>
    <t>AI route rerouting</t>
  </si>
  <si>
    <t>Franchisee risk-sharing</t>
  </si>
  <si>
    <t>Digital twin logistics</t>
  </si>
  <si>
    <t>Transition insurance</t>
  </si>
  <si>
    <t>AI sub-tier visibility</t>
  </si>
  <si>
    <t>Climate risk scoring</t>
  </si>
  <si>
    <t>Digital twin network</t>
  </si>
  <si>
    <t>Buffer pooling with peers</t>
  </si>
  <si>
    <t>Seismic risk siting model</t>
  </si>
  <si>
    <t>Supplier financial monitor</t>
  </si>
  <si>
    <t>Gov-industry data framework</t>
  </si>
  <si>
    <t>Significant Reduced</t>
  </si>
  <si>
    <t>Reduced(deliv. risk)</t>
  </si>
  <si>
    <t>High (SAFReduced)</t>
  </si>
  <si>
    <t>ReducedReduced formal</t>
  </si>
  <si>
    <t>ReducedReduced struct.</t>
  </si>
  <si>
    <t>ReducedReduced (future)</t>
  </si>
  <si>
    <t>ReducedReduced future</t>
  </si>
  <si>
    <t>Increased (public)</t>
  </si>
  <si>
    <t>Increased (public trust)</t>
  </si>
  <si>
    <t>Greatly Increased</t>
  </si>
  <si>
    <t>Increased trust</t>
  </si>
  <si>
    <t>Med-LowIncreased</t>
  </si>
  <si>
    <t>ImprovedI</t>
  </si>
  <si>
    <r>
      <t xml:space="preserve">Encode at DC → read at receiving/floor/POS → data feeds IOP + AI (Jetlore). RFID rolled out 2014–2016, all Zara stores by end-2016 → </t>
    </r>
    <r>
      <rPr>
        <sz val="10"/>
        <color rgb="FFFF0000"/>
        <rFont val="Calibri"/>
        <family val="2"/>
      </rPr>
      <t xml:space="preserve">Jetlore was acquired by Paypal in 2018 </t>
    </r>
    <r>
      <rPr>
        <sz val="10"/>
        <rFont val="Calibri"/>
        <family val="1"/>
        <charset val="1"/>
      </rPr>
      <t>→ extended group-wide + new RFID/security tech live in Zara 2024.</t>
    </r>
  </si>
  <si>
    <r>
      <t xml:space="preserve">Accuracy ~65% → ~99%; counts 40×5h → 10 staff half-time; markdowns ~15–20% vs 30–40%; group sales €38.6bn FY2024. </t>
    </r>
    <r>
      <rPr>
        <sz val="10"/>
        <color rgb="FFFF0000"/>
        <rFont val="Calibri"/>
        <family val="2"/>
      </rPr>
      <t>(reasoned estimate)</t>
    </r>
  </si>
  <si>
    <t>Tesla's 2020 Battery Day target: 5× energy, 6× power, 16% more range vs. 2170. As of 2025–2026 independent measurement, production 4680 cells (244 Wh/kg) have not matched this and underperform the 2170 cells (269 Wh/kg) they were meant to replace.</t>
  </si>
  <si>
    <t>Gigacasting cuts Model Y rear-underbody casting cost by up to ~40% (realized). Separately, the 2023-announced 'Unboxed' process targets a 50% cut in production cost and a 40% reduction in factory footprint (largely not yet realized at scale as of early 2026).</t>
  </si>
  <si>
    <t>Three separate, causally unrelated shocks: (1) global chip shortage, 2020–2023; (2) Red Sea shipping diversions, Jan 2024; (3) Gigafactory Berlin arson attack, Mar 2024 — the latter two both affecting Q1 2024 results but distinct from each other and from the chip shortage.</t>
  </si>
  <si>
    <t>AlixPartners, 'Shortages related to semiconductors to cost the auto industry $210 billion</t>
  </si>
  <si>
    <r>
      <t>~65% pre-RFID → ~</t>
    </r>
    <r>
      <rPr>
        <sz val="10"/>
        <color rgb="FFFF0000"/>
        <rFont val="Calibri"/>
        <family val="2"/>
      </rPr>
      <t xml:space="preserve">95-99% post-RFID </t>
    </r>
    <r>
      <rPr>
        <sz val="10"/>
        <rFont val="Calibri"/>
        <family val="2"/>
      </rPr>
      <t>(near real-time).</t>
    </r>
  </si>
  <si>
    <t>92% (Apr 2025, YoY decline); 94% FY25 full-year</t>
  </si>
  <si>
    <t>85% FY26 @ $76/bbl (early); ~84% (Q3 FY26); FY27 80% @ ~$67</t>
  </si>
  <si>
    <t>CFM (GE–Safran JV); engine MRO in-house target 2028/29</t>
  </si>
  <si>
    <t>200.2m (FY25), 208.4m (FY26); FY27 guidance ~216m; target 300m FY34</t>
  </si>
  <si>
    <t>RISI Database — GRU attribution; 76 terminals; domain controllers, U.S. DOJ, "Six Russian GRU Officers Charged..." (Oct. 19, 2020) + backups wiped. https://www.risidata.com/Database/Detail/maersk-notpetya-attack</t>
  </si>
  <si>
    <t>Phishing for Answers (2025) — Ghana power-cut story; staffer flight Ghana→Nigeria→London; 5 months to full recovery. Prioritize Wired/Andy Greenberg, "The Untold Story of NotPetya" (2018) as primary source,  https://www.phishingforanswers.com/blog/how-ghana-saved-a-conglomerate-from-cyberattack</t>
  </si>
  <si>
    <r>
      <t>Merck (</t>
    </r>
    <r>
      <rPr>
        <sz val="10"/>
        <color rgb="FFFF0000"/>
        <rFont val="Calibri"/>
        <family val="2"/>
      </rPr>
      <t>~$870M</t>
    </r>
    <r>
      <rPr>
        <sz val="10"/>
        <rFont val="Calibri"/>
        <family val="2"/>
        <charset val="1"/>
      </rPr>
      <t>, Vaccine (Gardasil 9) supply disruption extended for months; Merck took ~18 months to replenish the borrowed CDC pediatric stockpile); FedEx/TNT (~$300M+, some permanent data loss admitted). Maersk's 10-day rebuild was relatively fast by comparison.</t>
    </r>
  </si>
  <si>
    <t>Q4 FY2011 (Jan–Mar 2011) net income down 77% (¥112.2bn → ¥25.4bn); full FY2012 net income down ~30.5% (¥408.1bn → ¥283.5bn)</t>
  </si>
  <si>
    <t xml:space="preserve">All Japan assembly plants (closed ~1 month); overseas plants (30% capacity for weeks); Renesas MCU supply (3-month halt); ~150+ parts in shortage globally. 78% YoY decline in April 2011; North America at 30% for several weeks; 150+ parts in shortage; ~390,000 net vehicles lost (from ~1M initially estimated) combined impact of the 2011 earthquake and the 2011 Thailand floods. Net income down 77% for FY March 2012; likely knocked Toyota from world's largest automaker position temporarily (GM likely retook it in 2011). </t>
  </si>
  <si>
    <t>Early 2021: Toyota maintained production while GM and VW paused plants. Feb 2021 Fukushima aftershock: 'significantly lower impact than in 2011.' Full chip shortage: 40% Aug/Sept 2021 cut driven jointly by semiconductor shortage and COVID-19-related parts disruptions in Southeast Asia (Vietnam, Malaysia) — but bought ~6 months of uninterrupted advantage over rivals.</t>
  </si>
  <si>
    <t>~330–430 open of ~900 (~37–48% open) at reported peak dates (19–20 Feb 2018)</t>
  </si>
  <si>
    <r>
      <t>Day 1: routes blocked. Day 2–3: restaurants begin closing.</t>
    </r>
    <r>
      <rPr>
        <sz val="10"/>
        <color rgb="FFFF0000"/>
        <rFont val="Calibri"/>
        <family val="2"/>
      </rPr>
      <t>~330–430 open of ~900 (~37–48% open) at reported peak dates (19–20 Feb 2018)</t>
    </r>
  </si>
  <si>
    <r>
      <t xml:space="preserve">£171.9M → </t>
    </r>
    <r>
      <rPr>
        <sz val="10"/>
        <color rgb="FFFF0000"/>
        <rFont val="Calibri"/>
        <family val="2"/>
      </rPr>
      <t>£129.9M</t>
    </r>
    <r>
      <rPr>
        <sz val="10"/>
        <rFont val="Calibri"/>
        <family val="2"/>
      </rPr>
      <t xml:space="preserve"> (−27.8%)</t>
    </r>
  </si>
  <si>
    <r>
      <t xml:space="preserve">Campaign Live — FCK campaign 'three Hs'; Cannes Lions wins; Mother agency; brand sentiment recovery. https://www.campaignlive.co.uk/article/kfc-fcking-clever-campaign/1498912 </t>
    </r>
    <r>
      <rPr>
        <sz val="10"/>
        <color rgb="FFFF0000"/>
        <rFont val="Calibri"/>
        <family val="2"/>
      </rPr>
      <t>(Ikon London Magazine (near-identical original content) or BBC/Fortune contemporaneous coverage)</t>
    </r>
  </si>
  <si>
    <r>
      <t>Tread separation: belt-edge rubber compound in ATX/Wilderness AT tires separated under heat, load and speed. Heat (hot climates, high speed, heavy load) accelerated belt-edge oxidation. Firestone's 1993 Wilderness AT design had a Grade C heat rating — the minimum allowed. The Decatur plant's manufacturing process produced tires with higher internal defect rates than sister plants.</t>
    </r>
    <r>
      <rPr>
        <sz val="9"/>
        <color rgb="FFFF0000"/>
        <rFont val="Arial"/>
        <family val="2"/>
      </rPr>
      <t xml:space="preserve"> Decatur defect rate spike coincides with 1994–1996 labor dispute period (replacement workers); tires from that period were ~15x more likely to generate a claim than tires from other plants.</t>
    </r>
  </si>
  <si>
    <r>
      <t>Market share collapse; Decatur closure; hundreds of millions in settlements.</t>
    </r>
    <r>
      <rPr>
        <sz val="10"/>
        <color rgb="FFFF0000"/>
        <rFont val="Calibri"/>
        <family val="2"/>
      </rPr>
      <t xml:space="preserve"> Analyst estimates ranged from $719M–$2.7B (UBS Warburg); Bridgestone set aside $450M + wrote off $900M in special losses in 2000 alone.</t>
    </r>
  </si>
  <si>
    <r>
      <t xml:space="preserve">(1) Plant-level manufacturing traceability. (2) Warranty-data analytics as safety early-warning. (3) OEM independent quality verification of critical safety components. (4) System-level testing (tire + vehicle interaction). (5) Mandatory regulatory disclosure (TREAD Act). (6) TPMS mandated in all vehicles. August 9, 2000: 6.5M tire recall announced jointly. </t>
    </r>
    <r>
      <rPr>
        <sz val="9"/>
        <color rgb="FFFF0000"/>
        <rFont val="Arial"/>
        <family val="2"/>
      </rPr>
      <t>TPMS mandated via TREAD Act; phased in with full compliance required by September 1, 2007.</t>
    </r>
    <r>
      <rPr>
        <sz val="9"/>
        <rFont val="Arial"/>
        <family val="2"/>
        <charset val="1"/>
      </rPr>
      <t xml:space="preserve"> Phased by geography (hot states first). Firestone initially agreed to replace some tires with competitors' products. Recall took months — Firestone had insufficient replacement inventory. Ford later extended to 13M in May 2001 unilaterally.</t>
    </r>
  </si>
  <si>
    <r>
      <t>~6.5M initial recal</t>
    </r>
    <r>
      <rPr>
        <sz val="10"/>
        <color rgb="FFFF0000"/>
        <rFont val="Calibri"/>
        <family val="2"/>
      </rPr>
      <t>l + 13M extended coinciding with Firestone formally severing its 100-year OEM supply relationship with Ford</t>
    </r>
    <r>
      <rPr>
        <sz val="10"/>
        <rFont val="Calibri"/>
        <family val="2"/>
        <charset val="1"/>
      </rPr>
      <t>; 271 US deaths; Firestone market share collapse; 100-year Ford–Firestone relationship ended permanently; TREAD Act passed; industry-wide supplier-quality practices reformed.</t>
    </r>
  </si>
  <si>
    <r>
      <t xml:space="preserve">271 (as of Sept 2001) </t>
    </r>
    <r>
      <rPr>
        <sz val="10"/>
        <color rgb="FFFF0000"/>
        <rFont val="Calibri"/>
        <family val="2"/>
      </rPr>
      <t>NHTSA's count rose repeatedly (119→148→174→203→271, late 2000–Sept 2001); some later secondary sources (e.g., current Wikipedia) cite 238 for US deaths depending on cutoff/methodology</t>
    </r>
  </si>
  <si>
    <t>~4–6 years, depending on start point (1996 Arizona warning vs. 1997-98 internal overseas testing awareness)</t>
  </si>
  <si>
    <t>A 2008 independent analysis (Safety Research &amp; Strategies / Quality Control Systems Corp) found tire-related Ford Explorer rollover deaths rose to levels higher than pre-recall by 2002-2007, suggesting the underlying vehicle rollover-propensity risk was not fully resolved by the tire recall alone</t>
  </si>
  <si>
    <r>
      <rPr>
        <sz val="10"/>
        <color rgb="FFFF0000"/>
        <rFont val="Calibri"/>
        <family val="2"/>
      </rPr>
      <t>Near-sole producer (~99%); remaining ~1% supplied by Nissin Kogyo Co</t>
    </r>
    <r>
      <rPr>
        <sz val="10"/>
        <rFont val="Calibri"/>
        <family val="2"/>
      </rPr>
      <t xml:space="preserve">. 32,500 units/day. Special-purpose machinery — destroyed in fire. 6,000+ molds destroyed. </t>
    </r>
  </si>
  <si>
    <r>
      <t xml:space="preserve">N5 — Downstream assembly (Hino, Daihatsu, Mitsubishi - </t>
    </r>
    <r>
      <rPr>
        <b/>
        <sz val="10"/>
        <color rgb="FFFF0000"/>
        <rFont val="Calibri"/>
        <family val="2"/>
      </rPr>
      <t>Suzuki was not affected)</t>
    </r>
  </si>
  <si>
    <r>
      <t xml:space="preserve">~2–3 days of P-valve stock — compressed to hours by in-transit demand. Assembly lines would stop within days without intervention. All 20 Toyota assembly plants in Japan; Hino, Daihatsu, Mitsubishi, Suzuki also affected. ~70,000 vehicles at risk. </t>
    </r>
    <r>
      <rPr>
        <sz val="10"/>
        <color rgb="FFFF0000"/>
        <rFont val="Calibri"/>
        <family val="2"/>
      </rPr>
      <t>~$160M–$245M net 'unavoidable' loss (post-recoupment), vs. ~$1.3B (¥160B) gross revenue at risk before recoupment through overtime/extra shifts.</t>
    </r>
  </si>
  <si>
    <t>lines began reopening ~2 days after the fire; ~70% of Aisin capacity restored by ~day 6; full network-wide normalization by ~2 weeks</t>
  </si>
  <si>
    <t>32,500/day restored within approximately 1–2 weeks (network-wide); partial output resumed within days</t>
  </si>
  <si>
    <r>
      <t xml:space="preserve">Reitman, V. (1997, May 8). "Toyota Motor Shows Its Mettle After Fire Destroys Parts Plant." </t>
    </r>
    <r>
      <rPr>
        <i/>
        <sz val="10"/>
        <color rgb="FFFF0000"/>
        <rFont val="Calibri"/>
        <family val="2"/>
        <charset val="1"/>
      </rPr>
      <t>Wall Street Journal</t>
    </r>
    <r>
      <rPr>
        <sz val="10"/>
        <color rgb="FFFF0000"/>
        <rFont val="Calibri"/>
        <family val="2"/>
        <charset val="1"/>
      </rPr>
      <t>, p. A1.</t>
    </r>
  </si>
  <si>
    <r>
      <rPr>
        <sz val="10"/>
        <color rgb="FFFF0000"/>
        <rFont val="Calibri"/>
        <family val="2"/>
      </rPr>
      <t>$2.2B per Cisco's SEC filing (commonly rounded to $2.25B in secondary sources)</t>
    </r>
    <r>
      <rPr>
        <sz val="10"/>
        <rFont val="Calibri"/>
        <family val="2"/>
        <charset val="1"/>
      </rPr>
      <t>; $2.69B quarterly loss; 8,000 jobs; stock $82→$13; reputational damage; foundational industry lesson in demand-visibility failure.</t>
    </r>
  </si>
  <si>
    <t>~$500–580B (March 2000); exact figure varies by source and date</t>
  </si>
  <si>
    <t>Low — most inventory was scrapped/destroyed, though some non-custom/raw materials were reportedly sold to recyclers/salvage brokers</t>
  </si>
  <si>
    <r>
      <rPr>
        <sz val="9"/>
        <color rgb="FFFF0000"/>
        <rFont val="Arial"/>
        <family val="2"/>
      </rPr>
      <t>Bullwhip-effect theory (Lee et al. 1997) identifies these three mechanisms generally; their specific occurrence in Cisco's 2000–2001 order book is inferred from the outcome, not independently documented in available sources -</t>
    </r>
    <r>
      <rPr>
        <sz val="9"/>
        <rFont val="Arial"/>
        <family val="2"/>
        <charset val="1"/>
      </rPr>
      <t xml:space="preserve"> Demand evaporated almost overnight as the dot-com bubble burst. Cisco was holding $2.25B of custom inventory it had built against inflated demand signals. Three mechanisms simultaneously inflated demand signals: (1) Shortage gaming — customers over-ordered to receive less than they requested; (2) Double-ordering — customers ordered from multiple vendors for the same equipment; (3) Speculative ordering — VC-funded companies ordered far ahead of actual need. Cisco had no system to detect or correct for any of these. Each supply chain tier amplified the inflated signal further. The components Cisco ordered were custom-built to Cisco-specific designs. When demand disappeared, the inventory could not be redirected or sold to other customers. Most was literally scrapped and destroyed.</t>
    </r>
  </si>
  <si>
    <t xml:space="preserve">Receives customer orders; aggregates and plans production; places orders to contract manufacturers.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</si>
</sst>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Calibri"/>
      <family val="2"/>
      <charset val="1"/>
    </font>
    <font>
      <b/>
      <sz val="10"/>
      <name val="Calibri"/>
      <family val="2"/>
      <charset val="1"/>
    </font>
    <font>
      <sz val="10"/>
      <name val="Calibri"/>
      <family val="1"/>
      <charset val="1"/>
    </font>
    <font>
      <b/>
      <sz val="10"/>
      <name val="Calibri"/>
      <family val="1"/>
      <charset val="1"/>
    </font>
    <font>
      <b/>
      <sz val="12"/>
      <name val="Calibri"/>
      <family val="2"/>
      <charset val="1"/>
    </font>
    <font>
      <sz val="9"/>
      <name val="Arial"/>
      <family val="2"/>
      <charset val="1"/>
    </font>
    <font>
      <b/>
      <sz val="11"/>
      <name val="Calibri"/>
      <family val="2"/>
    </font>
    <font>
      <sz val="11"/>
      <name val="Calibri"/>
      <family val="2"/>
    </font>
    <font>
      <sz val="9"/>
      <color theme="1"/>
      <name val="Calibri"/>
      <family val="2"/>
    </font>
    <font>
      <sz val="10"/>
      <name val="Calibri"/>
      <family val="2"/>
    </font>
    <font>
      <b/>
      <sz val="10"/>
      <name val="Calibri"/>
      <family val="2"/>
    </font>
    <font>
      <b/>
      <sz val="10"/>
      <color rgb="FF000000"/>
      <name val="Calibri"/>
      <family val="2"/>
    </font>
    <font>
      <b/>
      <sz val="10"/>
      <color theme="1"/>
      <name val="Calibri"/>
      <family val="2"/>
    </font>
    <font>
      <sz val="10"/>
      <color theme="1"/>
      <name val="Calibri"/>
      <family val="2"/>
    </font>
    <font>
      <b/>
      <sz val="12"/>
      <name val="Calibri"/>
      <family val="2"/>
    </font>
    <font>
      <sz val="9"/>
      <name val="Calibri"/>
      <family val="2"/>
    </font>
    <font>
      <sz val="8"/>
      <name val="Calibri"/>
      <family val="2"/>
      <charset val="1"/>
    </font>
    <font>
      <b/>
      <sz val="11"/>
      <color theme="1"/>
      <name val="Calibri"/>
      <family val="2"/>
    </font>
    <font>
      <sz val="11"/>
      <color theme="1"/>
      <name val="Calibri"/>
      <family val="2"/>
    </font>
    <font>
      <sz val="10"/>
      <color rgb="FFFF0000"/>
      <name val="Calibri"/>
      <family val="2"/>
    </font>
    <font>
      <sz val="9"/>
      <color rgb="FFFF0000"/>
      <name val="Arial"/>
      <family val="2"/>
      <charset val="1"/>
    </font>
    <font>
      <sz val="9"/>
      <color rgb="FFFF0000"/>
      <name val="Arial"/>
      <family val="2"/>
    </font>
    <font>
      <sz val="10"/>
      <color rgb="FFFF0000"/>
      <name val="Calibri"/>
      <family val="2"/>
      <charset val="1"/>
    </font>
    <font>
      <b/>
      <sz val="10"/>
      <color rgb="FFFF0000"/>
      <name val="Calibri"/>
      <family val="2"/>
    </font>
    <font>
      <i/>
      <sz val="10"/>
      <color rgb="FFFF0000"/>
      <name val="Calibri"/>
      <family val="2"/>
      <charset val="1"/>
    </font>
    <font>
      <sz val="9"/>
      <name val="Arial"/>
      <family val="2"/>
    </font>
  </fonts>
  <fills count="7">
    <fill>
      <patternFill patternType="none"/>
    </fill>
    <fill>
      <patternFill patternType="gray125"/>
    </fill>
    <fill>
      <patternFill patternType="solid">
        <fgColor rgb="FFDDDDDD"/>
        <bgColor rgb="FFCCCCCC"/>
      </patternFill>
    </fill>
    <fill>
      <patternFill patternType="solid">
        <fgColor rgb="FFCCCCCC"/>
        <bgColor rgb="FFDDDDDD"/>
      </patternFill>
    </fill>
    <fill>
      <patternFill patternType="solid">
        <fgColor rgb="FFEEEEEE"/>
        <bgColor rgb="FFFFFFFF"/>
      </patternFill>
    </fill>
    <fill>
      <patternFill patternType="solid">
        <fgColor theme="0" tint="-0.14999847407452621"/>
        <bgColor indexed="64"/>
      </patternFill>
    </fill>
    <fill>
      <patternFill patternType="solid">
        <fgColor rgb="FFDDDDDD"/>
        <bgColor rgb="FFD9D9D9"/>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auto="1"/>
      </left>
      <right style="hair">
        <color auto="1"/>
      </right>
      <top/>
      <bottom style="hair">
        <color auto="1"/>
      </bottom>
      <diagonal/>
    </border>
    <border>
      <left style="thin">
        <color rgb="FF9AA7BD"/>
      </left>
      <right style="thin">
        <color rgb="FF9AA7BD"/>
      </right>
      <top style="thin">
        <color rgb="FF9AA7BD"/>
      </top>
      <bottom style="thin">
        <color rgb="FF9AA7BD"/>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AA7BD"/>
      </left>
      <right/>
      <top style="thin">
        <color rgb="FF9AA7BD"/>
      </top>
      <bottom style="thin">
        <color rgb="FF9AA7BD"/>
      </bottom>
      <diagonal/>
    </border>
    <border>
      <left style="thin">
        <color indexed="64"/>
      </left>
      <right/>
      <top/>
      <bottom style="thin">
        <color indexed="64"/>
      </bottom>
      <diagonal/>
    </border>
    <border>
      <left/>
      <right/>
      <top/>
      <bottom style="thin">
        <color indexed="64"/>
      </bottom>
      <diagonal/>
    </border>
    <border>
      <left style="thin">
        <color rgb="FF9AA7BD"/>
      </left>
      <right style="thin">
        <color rgb="FF9AA7BD"/>
      </right>
      <top style="thin">
        <color rgb="FF9AA7BD"/>
      </top>
      <bottom/>
      <diagonal/>
    </border>
    <border>
      <left/>
      <right/>
      <top style="thin">
        <color rgb="FF9AA7BD"/>
      </top>
      <bottom style="thin">
        <color rgb="FF9AA7BD"/>
      </bottom>
      <diagonal/>
    </border>
    <border>
      <left/>
      <right style="thin">
        <color rgb="FF9AA7BD"/>
      </right>
      <top style="thin">
        <color rgb="FF9AA7BD"/>
      </top>
      <bottom style="thin">
        <color rgb="FF9AA7BD"/>
      </bottom>
      <diagonal/>
    </border>
  </borders>
  <cellStyleXfs count="1">
    <xf numFmtId="0" fontId="0" fillId="0" borderId="0"/>
  </cellStyleXfs>
  <cellXfs count="149">
    <xf numFmtId="0" fontId="0" fillId="0" borderId="0" xfId="0"/>
    <xf numFmtId="0" fontId="0" fillId="0" borderId="0" xfId="0" applyAlignment="1">
      <alignment vertical="top"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1" xfId="0" applyBorder="1" applyAlignment="1">
      <alignment wrapText="1"/>
    </xf>
    <xf numFmtId="0" fontId="2" fillId="0" borderId="1" xfId="0" applyFont="1" applyBorder="1" applyAlignment="1">
      <alignment horizontal="left" wrapText="1"/>
    </xf>
    <xf numFmtId="0" fontId="0" fillId="0" borderId="0" xfId="0" applyAlignment="1">
      <alignment vertical="center" wrapText="1"/>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3" fillId="2" borderId="1" xfId="0" applyFont="1" applyFill="1" applyBorder="1" applyAlignment="1">
      <alignment vertical="top" wrapText="1"/>
    </xf>
    <xf numFmtId="0" fontId="1" fillId="2" borderId="1" xfId="0" applyFont="1" applyFill="1" applyBorder="1" applyAlignment="1">
      <alignment horizontal="left" vertical="top" wrapText="1"/>
    </xf>
    <xf numFmtId="0" fontId="4" fillId="0" borderId="0" xfId="0" applyFont="1" applyAlignment="1">
      <alignmen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7" fillId="0" borderId="0" xfId="0" applyFont="1" applyAlignment="1">
      <alignment horizontal="left" vertical="top" wrapText="1"/>
    </xf>
    <xf numFmtId="0" fontId="5" fillId="0" borderId="0" xfId="0" applyFont="1" applyAlignment="1">
      <alignment horizontal="left" vertical="top" wrapText="1"/>
    </xf>
    <xf numFmtId="0" fontId="9" fillId="0" borderId="7" xfId="0" applyFont="1" applyBorder="1" applyAlignment="1">
      <alignment horizontal="left" vertical="top" wrapText="1"/>
    </xf>
    <xf numFmtId="0" fontId="9" fillId="0" borderId="1" xfId="0" applyFont="1" applyBorder="1" applyAlignment="1">
      <alignment horizontal="left" vertical="top" wrapText="1"/>
    </xf>
    <xf numFmtId="0" fontId="10" fillId="0" borderId="7" xfId="0" applyFont="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center" vertical="center" wrapText="1"/>
    </xf>
    <xf numFmtId="0" fontId="1" fillId="0" borderId="9" xfId="0" applyFont="1" applyBorder="1" applyAlignment="1">
      <alignment horizontal="center" vertical="center" wrapText="1"/>
    </xf>
    <xf numFmtId="0" fontId="0" fillId="0" borderId="1" xfId="0" applyBorder="1"/>
    <xf numFmtId="0" fontId="10" fillId="0" borderId="1" xfId="0" applyFont="1" applyBorder="1" applyAlignment="1">
      <alignment horizontal="left" vertical="top"/>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10" fillId="0" borderId="7" xfId="0" applyFont="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vertical="top"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0" borderId="11" xfId="0" applyFont="1" applyBorder="1" applyAlignment="1">
      <alignment horizontal="left" vertical="top" wrapText="1"/>
    </xf>
    <xf numFmtId="0" fontId="11" fillId="0" borderId="1" xfId="0" applyFont="1" applyBorder="1" applyAlignment="1">
      <alignment horizontal="left" vertical="top" wrapText="1"/>
    </xf>
    <xf numFmtId="0" fontId="9" fillId="0" borderId="1" xfId="0" applyFont="1" applyBorder="1" applyAlignment="1">
      <alignment horizontal="left" vertical="center" wrapText="1"/>
    </xf>
    <xf numFmtId="0" fontId="12" fillId="0" borderId="7" xfId="0" applyFont="1" applyBorder="1" applyAlignment="1">
      <alignment horizontal="left" vertical="top" wrapText="1"/>
    </xf>
    <xf numFmtId="0" fontId="13" fillId="0" borderId="7" xfId="0" applyFont="1" applyBorder="1" applyAlignment="1">
      <alignment horizontal="left" vertical="top" wrapText="1"/>
    </xf>
    <xf numFmtId="0" fontId="13" fillId="0" borderId="7" xfId="0" applyFont="1" applyBorder="1" applyAlignment="1">
      <alignment horizontal="center" vertic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3" fillId="0" borderId="1" xfId="0" applyFont="1" applyBorder="1" applyAlignment="1">
      <alignment horizontal="center" vertical="center" wrapText="1"/>
    </xf>
    <xf numFmtId="0" fontId="13" fillId="0" borderId="7" xfId="0" applyFont="1" applyBorder="1" applyAlignment="1">
      <alignment vertical="top" wrapText="1"/>
    </xf>
    <xf numFmtId="0" fontId="13" fillId="0" borderId="11" xfId="0" applyFont="1" applyBorder="1" applyAlignment="1">
      <alignment vertical="top" wrapText="1"/>
    </xf>
    <xf numFmtId="0" fontId="12" fillId="0" borderId="14" xfId="0" applyFont="1" applyBorder="1" applyAlignment="1">
      <alignment horizontal="center" vertical="center" wrapText="1"/>
    </xf>
    <xf numFmtId="0" fontId="12" fillId="0" borderId="1" xfId="0" applyFont="1" applyBorder="1" applyAlignment="1">
      <alignment vertical="top" wrapText="1"/>
    </xf>
    <xf numFmtId="0" fontId="13" fillId="0" borderId="1" xfId="0" applyFont="1" applyBorder="1" applyAlignment="1">
      <alignment vertical="top" wrapText="1"/>
    </xf>
    <xf numFmtId="0" fontId="13" fillId="0" borderId="1" xfId="0" applyFont="1" applyBorder="1" applyAlignment="1">
      <alignment vertical="center" wrapText="1"/>
    </xf>
    <xf numFmtId="0" fontId="9" fillId="0" borderId="0" xfId="0" applyFont="1" applyAlignment="1">
      <alignment vertical="top" wrapText="1"/>
    </xf>
    <xf numFmtId="0" fontId="9" fillId="0" borderId="0" xfId="0" applyFont="1"/>
    <xf numFmtId="0" fontId="10" fillId="0" borderId="1" xfId="0" applyFont="1" applyBorder="1" applyAlignment="1">
      <alignment vertical="top" wrapText="1"/>
    </xf>
    <xf numFmtId="0" fontId="14" fillId="0" borderId="0" xfId="0" applyFont="1" applyAlignment="1">
      <alignment vertical="top" wrapText="1"/>
    </xf>
    <xf numFmtId="0" fontId="10" fillId="0" borderId="1" xfId="0" applyFont="1" applyBorder="1" applyAlignment="1">
      <alignment horizontal="center" vertical="center" wrapText="1"/>
    </xf>
    <xf numFmtId="0" fontId="10" fillId="0" borderId="0" xfId="0" applyFont="1" applyAlignment="1">
      <alignment vertical="top" wrapText="1"/>
    </xf>
    <xf numFmtId="0" fontId="15" fillId="0" borderId="0" xfId="0" applyFont="1" applyAlignment="1">
      <alignment horizontal="left" vertical="top" wrapText="1"/>
    </xf>
    <xf numFmtId="0" fontId="9" fillId="0" borderId="1" xfId="0" applyFont="1" applyBorder="1" applyAlignment="1">
      <alignment vertical="center" wrapText="1"/>
    </xf>
    <xf numFmtId="0" fontId="9" fillId="0" borderId="0" xfId="0" applyFont="1" applyAlignment="1">
      <alignment horizontal="left" vertical="top" wrapText="1"/>
    </xf>
    <xf numFmtId="0" fontId="10" fillId="2" borderId="1" xfId="0" applyFont="1" applyFill="1" applyBorder="1" applyAlignment="1">
      <alignment horizontal="left" vertical="top" wrapText="1"/>
    </xf>
    <xf numFmtId="0" fontId="10" fillId="2" borderId="1" xfId="0" applyFont="1" applyFill="1" applyBorder="1" applyAlignment="1">
      <alignment vertical="top" wrapText="1"/>
    </xf>
    <xf numFmtId="0" fontId="9" fillId="0" borderId="1" xfId="0" applyFont="1" applyBorder="1" applyAlignment="1">
      <alignment wrapText="1"/>
    </xf>
    <xf numFmtId="0" fontId="10" fillId="0" borderId="1" xfId="0" applyFont="1" applyBorder="1" applyAlignment="1">
      <alignment vertical="center" wrapText="1"/>
    </xf>
    <xf numFmtId="0" fontId="9" fillId="0" borderId="1" xfId="0" applyFont="1" applyBorder="1" applyAlignment="1">
      <alignment horizontal="left" wrapText="1"/>
    </xf>
    <xf numFmtId="0" fontId="13" fillId="0" borderId="1" xfId="0" applyFont="1" applyBorder="1" applyAlignment="1">
      <alignment horizontal="left" vertical="center" wrapText="1"/>
    </xf>
    <xf numFmtId="0" fontId="12" fillId="0" borderId="1"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17" fillId="0" borderId="0" xfId="0" applyFont="1" applyAlignment="1">
      <alignment horizontal="left" vertical="top" wrapText="1"/>
    </xf>
    <xf numFmtId="0" fontId="9" fillId="0" borderId="1" xfId="0" applyFont="1" applyBorder="1" applyAlignment="1">
      <alignment horizontal="left" vertical="top"/>
    </xf>
    <xf numFmtId="0" fontId="9" fillId="0" borderId="8" xfId="0" applyFont="1" applyBorder="1" applyAlignment="1">
      <alignment vertical="top" wrapText="1"/>
    </xf>
    <xf numFmtId="0" fontId="9" fillId="0" borderId="0" xfId="0" applyFont="1" applyAlignment="1">
      <alignment vertical="center" wrapText="1"/>
    </xf>
    <xf numFmtId="0" fontId="10" fillId="0" borderId="9" xfId="0" applyFont="1" applyBorder="1" applyAlignment="1">
      <alignment horizontal="center" vertical="center" wrapText="1"/>
    </xf>
    <xf numFmtId="0" fontId="9" fillId="0" borderId="1" xfId="0" applyFont="1" applyBorder="1"/>
    <xf numFmtId="0" fontId="9" fillId="0" borderId="10" xfId="0" applyFont="1" applyBorder="1" applyAlignment="1">
      <alignment vertical="top" wrapText="1"/>
    </xf>
    <xf numFmtId="0" fontId="9" fillId="0" borderId="10" xfId="0" applyFont="1" applyBorder="1" applyAlignment="1">
      <alignment wrapText="1"/>
    </xf>
    <xf numFmtId="0" fontId="1" fillId="6" borderId="1" xfId="0" applyFont="1" applyFill="1" applyBorder="1" applyAlignment="1">
      <alignment horizontal="left" vertical="top" wrapText="1"/>
    </xf>
    <xf numFmtId="0" fontId="1" fillId="6" borderId="1" xfId="0" applyFont="1" applyFill="1" applyBorder="1" applyAlignment="1">
      <alignment vertical="top" wrapText="1"/>
    </xf>
    <xf numFmtId="0" fontId="3" fillId="6" borderId="1" xfId="0" applyFont="1" applyFill="1" applyBorder="1" applyAlignment="1">
      <alignment vertical="top" wrapText="1"/>
    </xf>
    <xf numFmtId="0" fontId="19" fillId="0" borderId="1" xfId="0" applyFont="1" applyBorder="1" applyAlignment="1">
      <alignment horizontal="left" vertical="top" wrapText="1"/>
    </xf>
    <xf numFmtId="0" fontId="13" fillId="0" borderId="7" xfId="0" applyFont="1" applyBorder="1" applyAlignment="1">
      <alignment horizontal="left" vertical="top" wrapText="1"/>
    </xf>
    <xf numFmtId="0" fontId="13" fillId="0" borderId="15" xfId="0" applyFont="1" applyBorder="1"/>
    <xf numFmtId="0" fontId="13" fillId="0" borderId="16" xfId="0" applyFont="1" applyBorder="1"/>
    <xf numFmtId="0" fontId="17" fillId="0" borderId="7"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18" fillId="0" borderId="15" xfId="0" applyFont="1" applyBorder="1"/>
    <xf numFmtId="0" fontId="18" fillId="0" borderId="16" xfId="0" applyFont="1" applyBorder="1"/>
    <xf numFmtId="0" fontId="9" fillId="0" borderId="2" xfId="0" applyFont="1" applyBorder="1" applyAlignment="1">
      <alignment horizontal="left" vertical="center" wrapText="1"/>
    </xf>
    <xf numFmtId="0" fontId="9" fillId="0" borderId="0" xfId="0" applyFont="1" applyAlignment="1">
      <alignment horizontal="left" vertical="center" wrapText="1"/>
    </xf>
    <xf numFmtId="0" fontId="8" fillId="0" borderId="1" xfId="0" applyFont="1" applyBorder="1" applyAlignment="1">
      <alignment horizontal="left" vertical="top" wrapText="1"/>
    </xf>
    <xf numFmtId="0" fontId="9" fillId="0" borderId="5" xfId="0" applyFont="1" applyBorder="1" applyAlignment="1">
      <alignment horizontal="center" vertical="top" wrapText="1"/>
    </xf>
    <xf numFmtId="0" fontId="9" fillId="0" borderId="4" xfId="0" applyFont="1" applyBorder="1" applyAlignment="1">
      <alignment horizontal="center" vertical="top" wrapText="1"/>
    </xf>
    <xf numFmtId="0" fontId="9" fillId="0" borderId="3" xfId="0" applyFont="1" applyBorder="1" applyAlignment="1">
      <alignment horizontal="center" vertical="top" wrapText="1"/>
    </xf>
    <xf numFmtId="0" fontId="10" fillId="2" borderId="1" xfId="0" applyFont="1" applyFill="1" applyBorder="1" applyAlignment="1">
      <alignment horizontal="center" vertical="top" wrapText="1"/>
    </xf>
    <xf numFmtId="0" fontId="15" fillId="0" borderId="1" xfId="0" applyFont="1" applyBorder="1" applyAlignment="1">
      <alignment horizontal="left" vertical="top" wrapText="1"/>
    </xf>
    <xf numFmtId="0" fontId="10" fillId="3" borderId="1"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9" fillId="0" borderId="1" xfId="0" applyFont="1" applyBorder="1" applyAlignment="1">
      <alignment horizontal="left" vertical="top" wrapText="1"/>
    </xf>
    <xf numFmtId="0" fontId="10" fillId="3" borderId="2" xfId="0" applyFont="1" applyFill="1" applyBorder="1" applyAlignment="1">
      <alignment horizontal="center" vertical="top" wrapText="1"/>
    </xf>
    <xf numFmtId="0" fontId="10" fillId="3" borderId="0" xfId="0" applyFont="1" applyFill="1" applyAlignment="1">
      <alignment horizontal="center" vertical="top" wrapText="1"/>
    </xf>
    <xf numFmtId="0" fontId="15" fillId="0" borderId="1" xfId="0" applyFont="1" applyBorder="1" applyAlignment="1">
      <alignment horizontal="center" vertical="top" wrapText="1"/>
    </xf>
    <xf numFmtId="0" fontId="10" fillId="2" borderId="2" xfId="0" applyFont="1" applyFill="1" applyBorder="1" applyAlignment="1">
      <alignment horizontal="center" vertical="top" wrapText="1"/>
    </xf>
    <xf numFmtId="0" fontId="10" fillId="2" borderId="0" xfId="0" applyFont="1" applyFill="1" applyAlignment="1">
      <alignment horizontal="center" vertical="top" wrapText="1"/>
    </xf>
    <xf numFmtId="0" fontId="9" fillId="0" borderId="6" xfId="0" applyFont="1" applyBorder="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2" fillId="0" borderId="5"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0" fontId="20" fillId="0" borderId="5" xfId="0" applyFont="1" applyBorder="1" applyAlignment="1">
      <alignment horizontal="left" vertical="top" wrapText="1"/>
    </xf>
    <xf numFmtId="0" fontId="20" fillId="0" borderId="4" xfId="0" applyFont="1" applyBorder="1" applyAlignment="1">
      <alignment horizontal="left" vertical="top" wrapText="1"/>
    </xf>
    <xf numFmtId="0" fontId="20" fillId="0" borderId="3" xfId="0" applyFont="1" applyBorder="1" applyAlignment="1">
      <alignment horizontal="left" vertical="top" wrapText="1"/>
    </xf>
    <xf numFmtId="0" fontId="1" fillId="2" borderId="12" xfId="0" applyFont="1" applyFill="1" applyBorder="1" applyAlignment="1">
      <alignment horizontal="center" vertical="top" wrapText="1"/>
    </xf>
    <xf numFmtId="0" fontId="1" fillId="2" borderId="13" xfId="0" applyFont="1" applyFill="1" applyBorder="1" applyAlignment="1">
      <alignment horizontal="center" vertical="top" wrapText="1"/>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0" fontId="9" fillId="0" borderId="7" xfId="0" applyFont="1" applyBorder="1" applyAlignment="1">
      <alignment horizontal="left" vertical="top" wrapText="1"/>
    </xf>
    <xf numFmtId="0" fontId="7" fillId="0" borderId="15" xfId="0" applyFont="1" applyBorder="1"/>
    <xf numFmtId="0" fontId="7" fillId="0" borderId="16" xfId="0" applyFont="1" applyBorder="1"/>
    <xf numFmtId="0" fontId="6" fillId="0" borderId="7" xfId="0" applyFont="1" applyBorder="1" applyAlignment="1">
      <alignment horizontal="left" vertical="center" wrapText="1"/>
    </xf>
    <xf numFmtId="0" fontId="9" fillId="0" borderId="1" xfId="0" applyFont="1" applyBorder="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22" fillId="0" borderId="1" xfId="0" applyFont="1" applyBorder="1" applyAlignment="1">
      <alignment horizontal="left" vertical="top" wrapText="1"/>
    </xf>
    <xf numFmtId="0" fontId="22" fillId="0" borderId="0" xfId="0" applyFont="1"/>
    <xf numFmtId="0" fontId="25" fillId="0" borderId="1" xfId="0" applyFont="1" applyBorder="1" applyAlignment="1">
      <alignment horizontal="left" vertical="top" wrapText="1"/>
    </xf>
  </cellXfs>
  <cellStyles count="1">
    <cellStyle name="Normal" xfId="0" builtinId="0"/>
  </cellStyles>
  <dxfs count="3">
    <dxf>
      <font>
        <color rgb="FF006600"/>
        <name val="Calibri"/>
        <family val="2"/>
        <charset val="1"/>
      </font>
      <fill>
        <patternFill>
          <bgColor rgb="FFCCFFCC"/>
        </patternFill>
      </fill>
    </dxf>
    <dxf>
      <font>
        <i/>
        <color rgb="FF808080"/>
        <name val="Calibri"/>
        <family val="2"/>
        <charset val="1"/>
      </font>
    </dxf>
    <dxf>
      <font>
        <color rgb="FF996600"/>
        <name val="Calibri"/>
        <family val="2"/>
        <charset val="1"/>
      </font>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3D0B-8021-471F-B2FD-307E6B742C35}">
  <dimension ref="A1:M16"/>
  <sheetViews>
    <sheetView zoomScale="90" zoomScaleNormal="90" workbookViewId="0">
      <selection activeCell="F3" sqref="F3"/>
    </sheetView>
  </sheetViews>
  <sheetFormatPr baseColWidth="10" defaultColWidth="12.59765625" defaultRowHeight="15" x14ac:dyDescent="0.2"/>
  <cols>
    <col min="1" max="1" width="10.796875" style="20" bestFit="1" customWidth="1"/>
    <col min="2" max="2" width="24.59765625" style="20" bestFit="1" customWidth="1"/>
    <col min="3" max="3" width="29.19921875" style="20" customWidth="1"/>
    <col min="4" max="4" width="32.3984375" style="20" customWidth="1"/>
    <col min="5" max="5" width="28.3984375" style="20" customWidth="1"/>
    <col min="6" max="6" width="54.59765625" style="20" customWidth="1"/>
    <col min="7" max="7" width="48.59765625" style="20" customWidth="1"/>
    <col min="8" max="8" width="13" style="20" customWidth="1"/>
    <col min="9" max="9" width="15.59765625" style="20" customWidth="1"/>
    <col min="10" max="11" width="12.59765625" style="20"/>
    <col min="12" max="12" width="27.59765625" style="20" customWidth="1"/>
    <col min="13" max="13" width="49.796875" style="20" customWidth="1"/>
    <col min="14" max="16384" width="12.59765625" style="20"/>
  </cols>
  <sheetData>
    <row r="1" spans="1:13" s="73" customFormat="1" ht="32" x14ac:dyDescent="0.2">
      <c r="A1" s="72" t="s">
        <v>71</v>
      </c>
      <c r="B1" s="72" t="s">
        <v>72</v>
      </c>
      <c r="C1" s="72" t="s">
        <v>73</v>
      </c>
      <c r="D1" s="72" t="s">
        <v>74</v>
      </c>
      <c r="E1" s="72" t="s">
        <v>75</v>
      </c>
      <c r="F1" s="72" t="s">
        <v>76</v>
      </c>
      <c r="G1" s="72" t="s">
        <v>77</v>
      </c>
      <c r="H1" s="72" t="s">
        <v>78</v>
      </c>
      <c r="I1" s="72" t="s">
        <v>79</v>
      </c>
      <c r="K1" s="75"/>
      <c r="L1" s="75"/>
      <c r="M1" s="75"/>
    </row>
    <row r="2" spans="1:13" ht="96" x14ac:dyDescent="0.2">
      <c r="A2" s="74" t="s">
        <v>80</v>
      </c>
      <c r="B2" s="74" t="s">
        <v>87</v>
      </c>
      <c r="C2" s="74" t="s">
        <v>88</v>
      </c>
      <c r="D2" s="74" t="s">
        <v>89</v>
      </c>
      <c r="E2" s="74" t="s">
        <v>90</v>
      </c>
      <c r="F2" s="74" t="s">
        <v>1517</v>
      </c>
      <c r="G2" s="74" t="s">
        <v>1518</v>
      </c>
      <c r="H2" s="74" t="s">
        <v>91</v>
      </c>
      <c r="I2" s="74" t="s">
        <v>83</v>
      </c>
      <c r="K2" s="62"/>
      <c r="L2" s="62"/>
      <c r="M2" s="62"/>
    </row>
    <row r="3" spans="1:13" ht="96" x14ac:dyDescent="0.2">
      <c r="A3" s="74" t="s">
        <v>82</v>
      </c>
      <c r="B3" s="74" t="s">
        <v>92</v>
      </c>
      <c r="C3" s="74" t="s">
        <v>93</v>
      </c>
      <c r="D3" s="74" t="s">
        <v>94</v>
      </c>
      <c r="E3" s="74" t="s">
        <v>95</v>
      </c>
      <c r="F3" s="74" t="s">
        <v>1519</v>
      </c>
      <c r="G3" s="74" t="s">
        <v>1520</v>
      </c>
      <c r="H3" s="74" t="s">
        <v>91</v>
      </c>
      <c r="I3" s="74" t="s">
        <v>83</v>
      </c>
      <c r="K3" s="62"/>
      <c r="L3" s="62"/>
      <c r="M3" s="62"/>
    </row>
    <row r="4" spans="1:13" ht="112" x14ac:dyDescent="0.2">
      <c r="A4" s="74" t="s">
        <v>84</v>
      </c>
      <c r="B4" s="74" t="s">
        <v>96</v>
      </c>
      <c r="C4" s="74" t="s">
        <v>97</v>
      </c>
      <c r="D4" s="74" t="s">
        <v>98</v>
      </c>
      <c r="E4" s="74" t="s">
        <v>99</v>
      </c>
      <c r="F4" s="74" t="s">
        <v>1521</v>
      </c>
      <c r="G4" s="74" t="s">
        <v>1522</v>
      </c>
      <c r="H4" s="74" t="s">
        <v>100</v>
      </c>
      <c r="I4" s="74" t="s">
        <v>101</v>
      </c>
      <c r="K4" s="62"/>
      <c r="L4" s="62"/>
      <c r="M4" s="62"/>
    </row>
    <row r="5" spans="1:13" ht="112" x14ac:dyDescent="0.2">
      <c r="A5" s="74" t="s">
        <v>85</v>
      </c>
      <c r="B5" s="74" t="s">
        <v>102</v>
      </c>
      <c r="C5" s="74" t="s">
        <v>103</v>
      </c>
      <c r="D5" s="74" t="s">
        <v>104</v>
      </c>
      <c r="E5" s="74" t="s">
        <v>105</v>
      </c>
      <c r="F5" s="74" t="s">
        <v>1523</v>
      </c>
      <c r="G5" s="74" t="s">
        <v>1524</v>
      </c>
      <c r="H5" s="74" t="s">
        <v>91</v>
      </c>
      <c r="I5" s="74" t="s">
        <v>101</v>
      </c>
    </row>
    <row r="6" spans="1:13" ht="112" x14ac:dyDescent="0.2">
      <c r="A6" s="74" t="s">
        <v>86</v>
      </c>
      <c r="B6" s="74" t="s">
        <v>1558</v>
      </c>
      <c r="C6" s="23" t="s">
        <v>1559</v>
      </c>
      <c r="D6" s="23" t="s">
        <v>1560</v>
      </c>
      <c r="E6" s="74" t="s">
        <v>1561</v>
      </c>
      <c r="F6" s="74" t="s">
        <v>1562</v>
      </c>
      <c r="G6" s="74" t="s">
        <v>1563</v>
      </c>
      <c r="H6" s="74" t="s">
        <v>91</v>
      </c>
      <c r="I6" s="74" t="s">
        <v>101</v>
      </c>
    </row>
    <row r="7" spans="1:13" ht="112" x14ac:dyDescent="0.2">
      <c r="A7" s="74" t="s">
        <v>738</v>
      </c>
      <c r="B7" s="76" t="s">
        <v>1529</v>
      </c>
      <c r="C7" s="23" t="s">
        <v>1530</v>
      </c>
      <c r="D7" s="74" t="s">
        <v>1531</v>
      </c>
      <c r="E7" s="74" t="s">
        <v>1532</v>
      </c>
      <c r="F7" s="74" t="s">
        <v>1533</v>
      </c>
      <c r="G7" s="74" t="s">
        <v>1534</v>
      </c>
      <c r="H7" s="74" t="s">
        <v>91</v>
      </c>
      <c r="I7" s="74" t="s">
        <v>101</v>
      </c>
    </row>
    <row r="8" spans="1:13" ht="112" x14ac:dyDescent="0.2">
      <c r="A8" s="74" t="s">
        <v>890</v>
      </c>
      <c r="B8" s="74" t="s">
        <v>1535</v>
      </c>
      <c r="C8" s="74" t="s">
        <v>1536</v>
      </c>
      <c r="D8" s="74" t="s">
        <v>1537</v>
      </c>
      <c r="E8" s="74" t="s">
        <v>1538</v>
      </c>
      <c r="F8" s="74" t="s">
        <v>1539</v>
      </c>
      <c r="G8" s="74" t="s">
        <v>1540</v>
      </c>
      <c r="H8" s="74" t="s">
        <v>91</v>
      </c>
      <c r="I8" s="74" t="s">
        <v>101</v>
      </c>
    </row>
    <row r="9" spans="1:13" ht="128" x14ac:dyDescent="0.2">
      <c r="A9" s="74" t="s">
        <v>1064</v>
      </c>
      <c r="B9" s="74" t="s">
        <v>1541</v>
      </c>
      <c r="C9" s="74" t="s">
        <v>1542</v>
      </c>
      <c r="D9" s="74" t="s">
        <v>1543</v>
      </c>
      <c r="E9" s="74" t="s">
        <v>1544</v>
      </c>
      <c r="F9" s="74" t="s">
        <v>1545</v>
      </c>
      <c r="G9" s="74" t="s">
        <v>1546</v>
      </c>
      <c r="H9" s="74" t="s">
        <v>91</v>
      </c>
      <c r="I9" s="74" t="s">
        <v>101</v>
      </c>
    </row>
    <row r="10" spans="1:13" ht="128" x14ac:dyDescent="0.2">
      <c r="A10" s="74" t="s">
        <v>1252</v>
      </c>
      <c r="B10" s="74" t="s">
        <v>1529</v>
      </c>
      <c r="C10" s="74" t="s">
        <v>1547</v>
      </c>
      <c r="D10" s="74" t="s">
        <v>1548</v>
      </c>
      <c r="E10" s="74" t="s">
        <v>1549</v>
      </c>
      <c r="F10" s="74" t="s">
        <v>1550</v>
      </c>
      <c r="G10" s="74" t="s">
        <v>1551</v>
      </c>
      <c r="H10" s="74" t="s">
        <v>91</v>
      </c>
      <c r="I10" s="74" t="s">
        <v>101</v>
      </c>
    </row>
    <row r="11" spans="1:13" ht="128" x14ac:dyDescent="0.2">
      <c r="A11" s="74" t="s">
        <v>1390</v>
      </c>
      <c r="B11" s="74" t="s">
        <v>1552</v>
      </c>
      <c r="C11" s="74" t="s">
        <v>1553</v>
      </c>
      <c r="D11" s="74" t="s">
        <v>1554</v>
      </c>
      <c r="E11" s="74" t="s">
        <v>1555</v>
      </c>
      <c r="F11" s="74" t="s">
        <v>1556</v>
      </c>
      <c r="G11" s="74" t="s">
        <v>1557</v>
      </c>
      <c r="H11" s="74" t="s">
        <v>91</v>
      </c>
      <c r="I11" s="74" t="s">
        <v>101</v>
      </c>
    </row>
    <row r="12" spans="1:13" ht="16" x14ac:dyDescent="0.2">
      <c r="A12" s="74" t="s">
        <v>1525</v>
      </c>
      <c r="B12" s="74"/>
      <c r="C12" s="74"/>
      <c r="D12" s="74"/>
      <c r="E12" s="74"/>
      <c r="F12" s="74"/>
      <c r="G12" s="74"/>
      <c r="H12" s="74"/>
      <c r="I12" s="74"/>
    </row>
    <row r="13" spans="1:13" ht="16" x14ac:dyDescent="0.2">
      <c r="A13" s="74" t="s">
        <v>1526</v>
      </c>
      <c r="B13" s="74"/>
      <c r="C13" s="74"/>
      <c r="D13" s="74"/>
      <c r="E13" s="74"/>
      <c r="F13" s="74"/>
      <c r="G13" s="74"/>
      <c r="H13" s="74"/>
      <c r="I13" s="74"/>
    </row>
    <row r="14" spans="1:13" ht="16" x14ac:dyDescent="0.2">
      <c r="A14" s="74" t="s">
        <v>1527</v>
      </c>
      <c r="B14" s="74"/>
      <c r="C14" s="74"/>
      <c r="D14" s="74"/>
      <c r="E14" s="74"/>
      <c r="F14" s="74"/>
      <c r="G14" s="74"/>
      <c r="H14" s="74"/>
      <c r="I14" s="74"/>
    </row>
    <row r="15" spans="1:13" ht="16" x14ac:dyDescent="0.2">
      <c r="A15" s="74" t="s">
        <v>1528</v>
      </c>
      <c r="B15" s="74"/>
      <c r="C15" s="74"/>
      <c r="D15" s="74"/>
      <c r="E15" s="74"/>
      <c r="F15" s="74"/>
      <c r="G15" s="74"/>
      <c r="H15" s="74"/>
      <c r="I15" s="74"/>
    </row>
    <row r="16" spans="1:13" ht="16" x14ac:dyDescent="0.2">
      <c r="A16" s="74" t="s">
        <v>1564</v>
      </c>
      <c r="B16" s="74"/>
      <c r="C16" s="74"/>
      <c r="D16" s="74"/>
      <c r="E16" s="74"/>
      <c r="F16" s="74"/>
      <c r="G16" s="74"/>
      <c r="H16" s="74"/>
      <c r="I16" s="74"/>
    </row>
  </sheetData>
  <phoneticPr fontId="16" type="noConversion"/>
  <conditionalFormatting sqref="I1:I1048576">
    <cfRule type="cellIs" dxfId="2" priority="1" operator="equal">
      <formula>"Ongoing"</formula>
    </cfRule>
    <cfRule type="cellIs" dxfId="1" priority="2" operator="equal">
      <formula>"Not started yet"</formula>
    </cfRule>
    <cfRule type="cellIs" dxfId="0" priority="3" operator="equal">
      <formula>"Completed"</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684B-2813-42C5-A5B8-A3A0AF9E24E1}">
  <dimension ref="A1:AA102"/>
  <sheetViews>
    <sheetView zoomScaleNormal="90" workbookViewId="0">
      <selection activeCell="R38" sqref="R38"/>
    </sheetView>
  </sheetViews>
  <sheetFormatPr baseColWidth="10" defaultColWidth="12.59765625" defaultRowHeight="14" x14ac:dyDescent="0.2"/>
  <cols>
    <col min="1" max="1" width="7" style="54" customWidth="1"/>
    <col min="2" max="2" width="28.3984375" style="54" bestFit="1" customWidth="1"/>
    <col min="3" max="3" width="23.796875" style="54" customWidth="1"/>
    <col min="4" max="4" width="23.3984375" style="54" customWidth="1"/>
    <col min="5" max="5" width="21.796875" style="54" customWidth="1"/>
    <col min="6" max="7" width="22.59765625" style="54" customWidth="1"/>
    <col min="8" max="8" width="23.19921875" style="54" customWidth="1"/>
    <col min="9" max="9" width="24.59765625" style="54" customWidth="1"/>
    <col min="10" max="10" width="15.3984375" style="54" bestFit="1" customWidth="1"/>
    <col min="11" max="16384" width="12.59765625" style="55"/>
  </cols>
  <sheetData>
    <row r="1" spans="2:9" x14ac:dyDescent="0.2">
      <c r="B1" s="116" t="s">
        <v>37</v>
      </c>
      <c r="C1" s="117"/>
      <c r="D1" s="117"/>
      <c r="E1" s="117"/>
      <c r="F1" s="117"/>
    </row>
    <row r="2" spans="2:9" ht="15" x14ac:dyDescent="0.2">
      <c r="B2" s="56" t="s">
        <v>70</v>
      </c>
      <c r="C2" s="107" t="s">
        <v>80</v>
      </c>
      <c r="D2" s="107"/>
      <c r="E2" s="107"/>
      <c r="F2" s="107"/>
    </row>
    <row r="3" spans="2:9" ht="15" x14ac:dyDescent="0.2">
      <c r="B3" s="56" t="s">
        <v>69</v>
      </c>
      <c r="C3" s="107" t="s">
        <v>106</v>
      </c>
      <c r="D3" s="107"/>
      <c r="E3" s="107"/>
      <c r="F3" s="107"/>
    </row>
    <row r="4" spans="2:9" ht="15" x14ac:dyDescent="0.2">
      <c r="B4" s="56" t="s">
        <v>68</v>
      </c>
      <c r="C4" s="107" t="s">
        <v>107</v>
      </c>
      <c r="D4" s="107"/>
      <c r="E4" s="107"/>
      <c r="F4" s="107"/>
    </row>
    <row r="5" spans="2:9" ht="15" x14ac:dyDescent="0.2">
      <c r="B5" s="56" t="s">
        <v>67</v>
      </c>
      <c r="C5" s="107" t="s">
        <v>108</v>
      </c>
      <c r="D5" s="107"/>
      <c r="E5" s="107"/>
      <c r="F5" s="107"/>
    </row>
    <row r="6" spans="2:9" ht="15" x14ac:dyDescent="0.2">
      <c r="B6" s="56" t="s">
        <v>66</v>
      </c>
      <c r="C6" s="107" t="s">
        <v>109</v>
      </c>
      <c r="D6" s="107"/>
      <c r="E6" s="107"/>
      <c r="F6" s="107"/>
    </row>
    <row r="7" spans="2:9" x14ac:dyDescent="0.2">
      <c r="C7" s="121"/>
      <c r="D7" s="121"/>
      <c r="E7" s="121"/>
    </row>
    <row r="8" spans="2:9" ht="17" x14ac:dyDescent="0.2">
      <c r="B8" s="57" t="s">
        <v>65</v>
      </c>
    </row>
    <row r="10" spans="2:9" x14ac:dyDescent="0.2">
      <c r="B10" s="111" t="s">
        <v>64</v>
      </c>
      <c r="C10" s="111"/>
      <c r="D10" s="111"/>
      <c r="E10" s="111"/>
      <c r="G10" s="111" t="s">
        <v>63</v>
      </c>
      <c r="H10" s="111"/>
      <c r="I10" s="111"/>
    </row>
    <row r="11" spans="2:9" ht="15" x14ac:dyDescent="0.2">
      <c r="B11" s="56" t="s">
        <v>110</v>
      </c>
      <c r="C11" s="112" t="s">
        <v>113</v>
      </c>
      <c r="D11" s="112"/>
      <c r="E11" s="112"/>
      <c r="G11" s="58" t="s">
        <v>62</v>
      </c>
      <c r="H11" s="58" t="s">
        <v>61</v>
      </c>
      <c r="I11" s="58" t="s">
        <v>60</v>
      </c>
    </row>
    <row r="12" spans="2:9" ht="30" x14ac:dyDescent="0.2">
      <c r="B12" s="56" t="s">
        <v>111</v>
      </c>
      <c r="C12" s="112" t="s">
        <v>114</v>
      </c>
      <c r="D12" s="112"/>
      <c r="E12" s="112"/>
      <c r="G12" s="26">
        <v>1</v>
      </c>
      <c r="H12" s="71" t="s">
        <v>117</v>
      </c>
      <c r="I12" s="71" t="s">
        <v>81</v>
      </c>
    </row>
    <row r="13" spans="2:9" ht="26" x14ac:dyDescent="0.2">
      <c r="B13" s="56" t="s">
        <v>59</v>
      </c>
      <c r="C13" s="112" t="s">
        <v>115</v>
      </c>
      <c r="D13" s="112"/>
      <c r="E13" s="112"/>
      <c r="G13" s="26">
        <v>2</v>
      </c>
      <c r="H13" s="71" t="s">
        <v>118</v>
      </c>
      <c r="I13" s="71" t="s">
        <v>121</v>
      </c>
    </row>
    <row r="14" spans="2:9" ht="26" x14ac:dyDescent="0.2">
      <c r="B14" s="56" t="s">
        <v>112</v>
      </c>
      <c r="C14" s="112" t="s">
        <v>116</v>
      </c>
      <c r="D14" s="112"/>
      <c r="E14" s="112"/>
      <c r="G14" s="26">
        <v>3</v>
      </c>
      <c r="H14" s="71" t="s">
        <v>119</v>
      </c>
      <c r="I14" s="71" t="s">
        <v>122</v>
      </c>
    </row>
    <row r="15" spans="2:9" ht="39" x14ac:dyDescent="0.2">
      <c r="B15" s="56"/>
      <c r="C15" s="118"/>
      <c r="D15" s="118"/>
      <c r="E15" s="118"/>
      <c r="G15" s="26">
        <v>4</v>
      </c>
      <c r="H15" s="71" t="s">
        <v>120</v>
      </c>
      <c r="I15" s="71" t="s">
        <v>123</v>
      </c>
    </row>
    <row r="16" spans="2:9" x14ac:dyDescent="0.2">
      <c r="G16" s="26"/>
      <c r="H16" s="71"/>
      <c r="I16" s="71"/>
    </row>
    <row r="17" spans="2:10" x14ac:dyDescent="0.2">
      <c r="B17" s="111" t="s">
        <v>58</v>
      </c>
      <c r="C17" s="111"/>
      <c r="G17" s="26"/>
      <c r="H17" s="26"/>
      <c r="I17" s="26"/>
    </row>
    <row r="18" spans="2:10" ht="15" x14ac:dyDescent="0.2">
      <c r="B18" s="58" t="s">
        <v>57</v>
      </c>
      <c r="C18" s="58" t="s">
        <v>56</v>
      </c>
      <c r="G18" s="26"/>
      <c r="H18" s="26"/>
      <c r="I18" s="26"/>
    </row>
    <row r="19" spans="2:10" ht="60" x14ac:dyDescent="0.2">
      <c r="B19" s="61" t="s">
        <v>9</v>
      </c>
      <c r="C19" s="61" t="s">
        <v>124</v>
      </c>
      <c r="G19" s="26"/>
      <c r="H19" s="26"/>
      <c r="I19" s="26"/>
    </row>
    <row r="20" spans="2:10" ht="60" x14ac:dyDescent="0.2">
      <c r="B20" s="61" t="s">
        <v>28</v>
      </c>
      <c r="C20" s="61" t="s">
        <v>125</v>
      </c>
      <c r="G20" s="26"/>
      <c r="H20" s="26"/>
      <c r="I20" s="26"/>
    </row>
    <row r="21" spans="2:10" ht="60" x14ac:dyDescent="0.2">
      <c r="B21" s="61" t="s">
        <v>27</v>
      </c>
      <c r="C21" s="61" t="s">
        <v>126</v>
      </c>
      <c r="G21" s="23"/>
      <c r="H21" s="36"/>
      <c r="I21" s="36"/>
    </row>
    <row r="22" spans="2:10" ht="60" x14ac:dyDescent="0.2">
      <c r="B22" s="61" t="s">
        <v>55</v>
      </c>
      <c r="C22" s="61" t="s">
        <v>127</v>
      </c>
      <c r="G22" s="23"/>
      <c r="H22" s="36"/>
      <c r="I22" s="36"/>
    </row>
    <row r="23" spans="2:10" ht="30" x14ac:dyDescent="0.2">
      <c r="B23" s="61" t="s">
        <v>24</v>
      </c>
      <c r="C23" s="61" t="s">
        <v>128</v>
      </c>
      <c r="G23" s="23"/>
      <c r="H23" s="36"/>
      <c r="I23" s="36"/>
    </row>
    <row r="24" spans="2:10" ht="75" x14ac:dyDescent="0.2">
      <c r="B24" s="61" t="s">
        <v>26</v>
      </c>
      <c r="C24" s="61" t="s">
        <v>129</v>
      </c>
      <c r="G24" s="36"/>
      <c r="H24" s="36"/>
      <c r="I24" s="36"/>
    </row>
    <row r="25" spans="2:10" ht="45" x14ac:dyDescent="0.2">
      <c r="B25" s="61" t="s">
        <v>25</v>
      </c>
      <c r="C25" s="61" t="s">
        <v>130</v>
      </c>
      <c r="G25" s="36"/>
      <c r="H25" s="36"/>
      <c r="I25" s="36"/>
    </row>
    <row r="26" spans="2:10" ht="30" x14ac:dyDescent="0.2">
      <c r="B26" s="61" t="s">
        <v>5</v>
      </c>
      <c r="C26" s="61" t="s">
        <v>131</v>
      </c>
      <c r="G26" s="36"/>
      <c r="H26" s="36"/>
      <c r="I26" s="36"/>
    </row>
    <row r="27" spans="2:10" ht="30" x14ac:dyDescent="0.2">
      <c r="B27" s="61" t="s">
        <v>23</v>
      </c>
      <c r="C27" s="61" t="s">
        <v>132</v>
      </c>
      <c r="G27" s="36"/>
      <c r="H27" s="36"/>
      <c r="I27" s="36"/>
    </row>
    <row r="29" spans="2:10" ht="17" x14ac:dyDescent="0.2">
      <c r="B29" s="57" t="s">
        <v>54</v>
      </c>
      <c r="G29" s="57" t="s">
        <v>53</v>
      </c>
    </row>
    <row r="31" spans="2:10" x14ac:dyDescent="0.2">
      <c r="B31" s="113" t="s">
        <v>52</v>
      </c>
      <c r="C31" s="113"/>
      <c r="D31" s="113"/>
      <c r="E31" s="113"/>
      <c r="G31" s="113" t="s">
        <v>51</v>
      </c>
      <c r="H31" s="113"/>
      <c r="I31" s="113"/>
      <c r="J31" s="113"/>
    </row>
    <row r="32" spans="2:10" ht="15" x14ac:dyDescent="0.2">
      <c r="B32" s="36" t="s">
        <v>50</v>
      </c>
      <c r="C32" s="112" t="s">
        <v>133</v>
      </c>
      <c r="D32" s="112"/>
      <c r="E32" s="112"/>
      <c r="G32" s="36" t="s">
        <v>49</v>
      </c>
      <c r="H32" s="112"/>
      <c r="I32" s="112"/>
      <c r="J32" s="112"/>
    </row>
    <row r="33" spans="2:27" ht="15" x14ac:dyDescent="0.2">
      <c r="B33" s="36" t="s">
        <v>48</v>
      </c>
      <c r="C33" s="112" t="s">
        <v>134</v>
      </c>
      <c r="D33" s="112"/>
      <c r="E33" s="112"/>
      <c r="G33" s="36" t="s">
        <v>47</v>
      </c>
      <c r="H33" s="112"/>
      <c r="I33" s="112"/>
      <c r="J33" s="112"/>
    </row>
    <row r="34" spans="2:27" ht="45" x14ac:dyDescent="0.2">
      <c r="B34" s="36" t="s">
        <v>46</v>
      </c>
      <c r="C34" s="115" t="s">
        <v>135</v>
      </c>
      <c r="D34" s="115"/>
      <c r="E34" s="115"/>
      <c r="G34" s="36" t="s">
        <v>45</v>
      </c>
      <c r="H34" s="115"/>
      <c r="I34" s="115"/>
      <c r="J34" s="115"/>
    </row>
    <row r="35" spans="2:27" ht="15" x14ac:dyDescent="0.2">
      <c r="B35" s="36" t="s">
        <v>44</v>
      </c>
      <c r="C35" s="115" t="s">
        <v>136</v>
      </c>
      <c r="D35" s="115"/>
      <c r="E35" s="115"/>
      <c r="G35" s="36" t="s">
        <v>43</v>
      </c>
      <c r="H35" s="115"/>
      <c r="I35" s="115"/>
      <c r="J35" s="115"/>
    </row>
    <row r="36" spans="2:27" ht="60" x14ac:dyDescent="0.2">
      <c r="C36" s="62"/>
      <c r="D36" s="62"/>
      <c r="E36" s="62"/>
      <c r="G36" s="36" t="s">
        <v>42</v>
      </c>
      <c r="H36" s="108"/>
      <c r="I36" s="109"/>
      <c r="J36" s="110"/>
    </row>
    <row r="38" spans="2:27" ht="85" x14ac:dyDescent="0.2">
      <c r="B38" s="57" t="s">
        <v>158</v>
      </c>
      <c r="K38" s="57" t="s">
        <v>159</v>
      </c>
      <c r="L38" s="54"/>
      <c r="M38" s="54"/>
      <c r="N38" s="54"/>
      <c r="O38" s="54"/>
      <c r="P38" s="54"/>
      <c r="Q38" s="54"/>
      <c r="R38" s="54"/>
      <c r="T38" s="16" t="s">
        <v>40</v>
      </c>
      <c r="U38" s="1"/>
      <c r="V38" s="1"/>
      <c r="W38" s="1"/>
      <c r="X38" s="1"/>
      <c r="Y38" s="1"/>
      <c r="Z38" s="1"/>
      <c r="AA38" s="1"/>
    </row>
    <row r="39" spans="2:27" x14ac:dyDescent="0.2">
      <c r="K39" s="54"/>
      <c r="L39" s="54"/>
      <c r="M39" s="54"/>
      <c r="N39" s="54"/>
      <c r="O39" s="54"/>
      <c r="P39" s="54"/>
      <c r="Q39" s="54"/>
      <c r="R39" s="54"/>
      <c r="T39" s="1"/>
      <c r="U39" s="1"/>
      <c r="V39" s="1"/>
      <c r="W39" s="1"/>
      <c r="X39" s="1"/>
      <c r="Y39" s="1"/>
      <c r="Z39" s="1"/>
      <c r="AA39" s="1"/>
    </row>
    <row r="40" spans="2:27" ht="30" x14ac:dyDescent="0.2">
      <c r="B40" s="63" t="s">
        <v>39</v>
      </c>
      <c r="C40" s="63" t="s">
        <v>38</v>
      </c>
      <c r="D40" s="63">
        <v>2</v>
      </c>
      <c r="E40" s="63">
        <v>3</v>
      </c>
      <c r="F40" s="63">
        <v>4</v>
      </c>
      <c r="G40" s="63">
        <v>5</v>
      </c>
      <c r="H40" s="63">
        <v>6</v>
      </c>
      <c r="I40" s="63">
        <v>7</v>
      </c>
      <c r="K40" s="63" t="s">
        <v>39</v>
      </c>
      <c r="L40" s="63" t="s">
        <v>38</v>
      </c>
      <c r="M40" s="63">
        <v>2</v>
      </c>
      <c r="N40" s="63">
        <v>3</v>
      </c>
      <c r="O40" s="63">
        <v>4</v>
      </c>
      <c r="P40" s="63">
        <v>5</v>
      </c>
      <c r="Q40" s="63">
        <v>6</v>
      </c>
      <c r="R40" s="63">
        <v>7</v>
      </c>
      <c r="T40" s="83" t="s">
        <v>39</v>
      </c>
      <c r="U40" s="83">
        <v>1</v>
      </c>
      <c r="V40" s="83">
        <v>2</v>
      </c>
      <c r="W40" s="83">
        <v>3</v>
      </c>
      <c r="X40" s="83">
        <v>4</v>
      </c>
      <c r="Y40" s="83">
        <v>5</v>
      </c>
      <c r="Z40" s="83">
        <v>6</v>
      </c>
      <c r="AA40" s="83">
        <v>7</v>
      </c>
    </row>
    <row r="41" spans="2:27" ht="90" x14ac:dyDescent="0.2">
      <c r="B41" s="64" t="s">
        <v>37</v>
      </c>
      <c r="C41" s="64" t="s">
        <v>137</v>
      </c>
      <c r="D41" s="64" t="s">
        <v>144</v>
      </c>
      <c r="E41" s="64" t="s">
        <v>148</v>
      </c>
      <c r="F41" s="64" t="s">
        <v>151</v>
      </c>
      <c r="G41" s="64" t="s">
        <v>152</v>
      </c>
      <c r="H41" s="64"/>
      <c r="I41" s="64"/>
      <c r="K41" s="64" t="s">
        <v>37</v>
      </c>
      <c r="L41" s="64" t="s">
        <v>160</v>
      </c>
      <c r="M41" s="64" t="s">
        <v>161</v>
      </c>
      <c r="N41" s="64" t="s">
        <v>162</v>
      </c>
      <c r="O41" s="64" t="s">
        <v>163</v>
      </c>
      <c r="P41" s="64" t="s">
        <v>164</v>
      </c>
      <c r="Q41" s="64"/>
      <c r="R41" s="64"/>
      <c r="T41" s="84" t="s">
        <v>37</v>
      </c>
      <c r="U41" s="84" t="s">
        <v>1619</v>
      </c>
      <c r="V41" s="84" t="s">
        <v>1620</v>
      </c>
      <c r="W41" s="84" t="s">
        <v>1621</v>
      </c>
      <c r="X41" s="84" t="s">
        <v>1622</v>
      </c>
      <c r="Y41" s="84" t="s">
        <v>1623</v>
      </c>
      <c r="Z41" s="84" t="s">
        <v>1624</v>
      </c>
      <c r="AA41" s="84"/>
    </row>
    <row r="42" spans="2:27" ht="165" x14ac:dyDescent="0.2">
      <c r="B42" s="56" t="s">
        <v>36</v>
      </c>
      <c r="C42" s="23" t="s">
        <v>138</v>
      </c>
      <c r="D42" s="23" t="s">
        <v>145</v>
      </c>
      <c r="E42" s="23" t="s">
        <v>149</v>
      </c>
      <c r="F42" s="23" t="s">
        <v>153</v>
      </c>
      <c r="G42" s="22" t="s">
        <v>156</v>
      </c>
      <c r="H42" s="36"/>
      <c r="I42" s="36"/>
      <c r="K42" s="56" t="s">
        <v>36</v>
      </c>
      <c r="L42" s="22" t="s">
        <v>165</v>
      </c>
      <c r="M42" s="22" t="s">
        <v>166</v>
      </c>
      <c r="N42" s="22" t="s">
        <v>167</v>
      </c>
      <c r="O42" s="22" t="s">
        <v>168</v>
      </c>
      <c r="P42" s="22" t="s">
        <v>169</v>
      </c>
      <c r="Q42" s="36"/>
      <c r="R42" s="36"/>
      <c r="T42" s="13" t="s">
        <v>36</v>
      </c>
      <c r="U42" s="6" t="s">
        <v>1625</v>
      </c>
      <c r="V42" s="6" t="s">
        <v>1626</v>
      </c>
      <c r="W42" s="6" t="s">
        <v>1627</v>
      </c>
      <c r="X42" s="6" t="s">
        <v>1628</v>
      </c>
      <c r="Y42" s="6" t="s">
        <v>1629</v>
      </c>
      <c r="Z42" s="6" t="s">
        <v>1630</v>
      </c>
      <c r="AA42" s="80"/>
    </row>
    <row r="43" spans="2:27" ht="15" x14ac:dyDescent="0.2">
      <c r="B43" s="56" t="s">
        <v>9</v>
      </c>
      <c r="C43" s="36" t="s">
        <v>16</v>
      </c>
      <c r="D43" s="36" t="s">
        <v>146</v>
      </c>
      <c r="E43" s="36" t="s">
        <v>18</v>
      </c>
      <c r="F43" s="36" t="s">
        <v>154</v>
      </c>
      <c r="G43" s="36" t="s">
        <v>21</v>
      </c>
      <c r="H43" s="36"/>
      <c r="I43" s="36"/>
      <c r="K43" s="56" t="s">
        <v>9</v>
      </c>
      <c r="L43" s="36" t="s">
        <v>16</v>
      </c>
      <c r="M43" s="36" t="s">
        <v>21</v>
      </c>
      <c r="N43" s="36" t="s">
        <v>16</v>
      </c>
      <c r="O43" s="36" t="s">
        <v>18</v>
      </c>
      <c r="P43" s="36" t="s">
        <v>19</v>
      </c>
      <c r="Q43" s="36"/>
      <c r="R43" s="36"/>
      <c r="T43" s="13" t="s">
        <v>9</v>
      </c>
      <c r="U43" s="6" t="s">
        <v>18</v>
      </c>
      <c r="V43" s="6" t="s">
        <v>18</v>
      </c>
      <c r="W43" s="6" t="s">
        <v>315</v>
      </c>
      <c r="X43" s="6" t="s">
        <v>18</v>
      </c>
      <c r="Y43" s="6" t="s">
        <v>16</v>
      </c>
      <c r="Z43" s="6" t="s">
        <v>16</v>
      </c>
      <c r="AA43" s="80"/>
    </row>
    <row r="44" spans="2:27" ht="15" x14ac:dyDescent="0.2">
      <c r="B44" s="56" t="s">
        <v>28</v>
      </c>
      <c r="C44" s="36" t="s">
        <v>139</v>
      </c>
      <c r="D44" s="36" t="s">
        <v>139</v>
      </c>
      <c r="E44" s="36" t="s">
        <v>18</v>
      </c>
      <c r="F44" s="36" t="s">
        <v>18</v>
      </c>
      <c r="G44" s="36" t="s">
        <v>18</v>
      </c>
      <c r="H44" s="36"/>
      <c r="I44" s="36"/>
      <c r="K44" s="56" t="s">
        <v>28</v>
      </c>
      <c r="L44" s="36" t="s">
        <v>170</v>
      </c>
      <c r="M44" s="65" t="s">
        <v>173</v>
      </c>
      <c r="N44" s="36" t="s">
        <v>142</v>
      </c>
      <c r="O44" s="36" t="s">
        <v>179</v>
      </c>
      <c r="P44" s="36" t="s">
        <v>181</v>
      </c>
      <c r="Q44" s="36"/>
      <c r="R44" s="36"/>
      <c r="T44" s="13" t="s">
        <v>28</v>
      </c>
      <c r="U44" s="6" t="s">
        <v>440</v>
      </c>
      <c r="V44" s="8" t="s">
        <v>179</v>
      </c>
      <c r="W44" s="6" t="s">
        <v>440</v>
      </c>
      <c r="X44" s="6" t="s">
        <v>179</v>
      </c>
      <c r="Y44" s="6" t="s">
        <v>18</v>
      </c>
      <c r="Z44" s="6" t="s">
        <v>440</v>
      </c>
      <c r="AA44" s="80"/>
    </row>
    <row r="45" spans="2:27" ht="15" x14ac:dyDescent="0.2">
      <c r="B45" s="56" t="s">
        <v>35</v>
      </c>
      <c r="C45" s="36" t="s">
        <v>16</v>
      </c>
      <c r="D45" s="36" t="s">
        <v>16</v>
      </c>
      <c r="E45" s="36" t="s">
        <v>18</v>
      </c>
      <c r="F45" s="36" t="s">
        <v>18</v>
      </c>
      <c r="G45" s="36" t="s">
        <v>18</v>
      </c>
      <c r="H45" s="36"/>
      <c r="I45" s="36"/>
      <c r="K45" s="56" t="s">
        <v>35</v>
      </c>
      <c r="L45" s="36" t="s">
        <v>16</v>
      </c>
      <c r="M45" s="36" t="s">
        <v>154</v>
      </c>
      <c r="N45" s="36" t="s">
        <v>142</v>
      </c>
      <c r="O45" s="36" t="s">
        <v>20</v>
      </c>
      <c r="P45" s="36" t="s">
        <v>20</v>
      </c>
      <c r="Q45" s="36"/>
      <c r="R45" s="36"/>
      <c r="T45" s="13" t="s">
        <v>35</v>
      </c>
      <c r="U45" s="6" t="s">
        <v>16</v>
      </c>
      <c r="V45" s="6" t="s">
        <v>20</v>
      </c>
      <c r="W45" s="6" t="s">
        <v>16</v>
      </c>
      <c r="X45" s="6" t="s">
        <v>20</v>
      </c>
      <c r="Y45" s="6" t="s">
        <v>20</v>
      </c>
      <c r="Z45" s="6" t="s">
        <v>20</v>
      </c>
      <c r="AA45" s="80"/>
    </row>
    <row r="46" spans="2:27" ht="30" x14ac:dyDescent="0.2">
      <c r="B46" s="56" t="s">
        <v>26</v>
      </c>
      <c r="C46" s="36" t="s">
        <v>140</v>
      </c>
      <c r="D46" s="36" t="s">
        <v>140</v>
      </c>
      <c r="E46" s="36" t="s">
        <v>18</v>
      </c>
      <c r="F46" s="36" t="s">
        <v>16</v>
      </c>
      <c r="G46" s="36" t="s">
        <v>16</v>
      </c>
      <c r="H46" s="36"/>
      <c r="I46" s="36"/>
      <c r="K46" s="56" t="s">
        <v>26</v>
      </c>
      <c r="L46" s="36" t="s">
        <v>19</v>
      </c>
      <c r="M46" s="36" t="s">
        <v>21</v>
      </c>
      <c r="N46" s="36" t="s">
        <v>176</v>
      </c>
      <c r="O46" s="36" t="s">
        <v>180</v>
      </c>
      <c r="P46" s="36" t="s">
        <v>16</v>
      </c>
      <c r="Q46" s="36"/>
      <c r="R46" s="36"/>
      <c r="T46" s="13" t="s">
        <v>26</v>
      </c>
      <c r="U46" s="6" t="s">
        <v>1631</v>
      </c>
      <c r="V46" s="6" t="s">
        <v>1631</v>
      </c>
      <c r="W46" s="6" t="s">
        <v>16</v>
      </c>
      <c r="X46" s="6" t="s">
        <v>16</v>
      </c>
      <c r="Y46" s="6" t="s">
        <v>140</v>
      </c>
      <c r="Z46" s="6" t="s">
        <v>1632</v>
      </c>
      <c r="AA46" s="80"/>
    </row>
    <row r="47" spans="2:27" ht="30" x14ac:dyDescent="0.2">
      <c r="B47" s="56" t="s">
        <v>25</v>
      </c>
      <c r="C47" s="36" t="s">
        <v>21</v>
      </c>
      <c r="D47" s="36" t="s">
        <v>21</v>
      </c>
      <c r="E47" s="36" t="s">
        <v>21</v>
      </c>
      <c r="F47" s="36" t="s">
        <v>21</v>
      </c>
      <c r="G47" s="36" t="s">
        <v>21</v>
      </c>
      <c r="H47" s="36"/>
      <c r="I47" s="36"/>
      <c r="K47" s="56" t="s">
        <v>25</v>
      </c>
      <c r="L47" s="36" t="s">
        <v>171</v>
      </c>
      <c r="M47" s="36" t="s">
        <v>174</v>
      </c>
      <c r="N47" s="36" t="s">
        <v>142</v>
      </c>
      <c r="O47" s="36" t="s">
        <v>139</v>
      </c>
      <c r="P47" s="77" t="s">
        <v>139</v>
      </c>
      <c r="Q47" s="36"/>
      <c r="R47" s="36"/>
      <c r="T47" s="13" t="s">
        <v>25</v>
      </c>
      <c r="U47" s="6" t="s">
        <v>21</v>
      </c>
      <c r="V47" s="6" t="s">
        <v>21</v>
      </c>
      <c r="W47" s="6" t="s">
        <v>21</v>
      </c>
      <c r="X47" s="6" t="s">
        <v>21</v>
      </c>
      <c r="Y47" s="6" t="s">
        <v>21</v>
      </c>
      <c r="Z47" s="6" t="s">
        <v>21</v>
      </c>
      <c r="AA47" s="80"/>
    </row>
    <row r="48" spans="2:27" ht="30" x14ac:dyDescent="0.2">
      <c r="B48" s="56" t="s">
        <v>34</v>
      </c>
      <c r="C48" s="36" t="s">
        <v>141</v>
      </c>
      <c r="D48" s="36" t="s">
        <v>141</v>
      </c>
      <c r="E48" s="36" t="s">
        <v>141</v>
      </c>
      <c r="F48" s="36" t="s">
        <v>141</v>
      </c>
      <c r="G48" s="36" t="s">
        <v>141</v>
      </c>
      <c r="H48" s="36"/>
      <c r="I48" s="36"/>
      <c r="K48" s="56" t="s">
        <v>34</v>
      </c>
      <c r="L48" s="36" t="s">
        <v>17</v>
      </c>
      <c r="M48" s="36" t="s">
        <v>16</v>
      </c>
      <c r="N48" s="36" t="s">
        <v>177</v>
      </c>
      <c r="O48" s="36" t="s">
        <v>181</v>
      </c>
      <c r="P48" s="36" t="s">
        <v>184</v>
      </c>
      <c r="Q48" s="36"/>
      <c r="R48" s="36"/>
      <c r="T48" s="13" t="s">
        <v>34</v>
      </c>
      <c r="U48" s="6" t="s">
        <v>141</v>
      </c>
      <c r="V48" s="6" t="s">
        <v>141</v>
      </c>
      <c r="W48" s="6" t="s">
        <v>141</v>
      </c>
      <c r="X48" s="6" t="s">
        <v>141</v>
      </c>
      <c r="Y48" s="6" t="s">
        <v>141</v>
      </c>
      <c r="Z48" s="6" t="s">
        <v>141</v>
      </c>
      <c r="AA48" s="80"/>
    </row>
    <row r="49" spans="2:27" ht="15" x14ac:dyDescent="0.2">
      <c r="B49" s="56" t="s">
        <v>5</v>
      </c>
      <c r="C49" s="36" t="s">
        <v>142</v>
      </c>
      <c r="D49" s="36" t="s">
        <v>142</v>
      </c>
      <c r="E49" s="36" t="s">
        <v>142</v>
      </c>
      <c r="F49" s="36" t="s">
        <v>142</v>
      </c>
      <c r="G49" s="36" t="s">
        <v>142</v>
      </c>
      <c r="H49" s="36"/>
      <c r="I49" s="36"/>
      <c r="K49" s="56" t="s">
        <v>5</v>
      </c>
      <c r="L49" s="36" t="s">
        <v>142</v>
      </c>
      <c r="M49" s="36" t="s">
        <v>142</v>
      </c>
      <c r="N49" s="36" t="s">
        <v>142</v>
      </c>
      <c r="O49" s="36" t="s">
        <v>142</v>
      </c>
      <c r="P49" s="36" t="s">
        <v>142</v>
      </c>
      <c r="Q49" s="36"/>
      <c r="R49" s="36"/>
      <c r="T49" s="13" t="s">
        <v>5</v>
      </c>
      <c r="U49" s="6" t="s">
        <v>20</v>
      </c>
      <c r="V49" s="6" t="s">
        <v>20</v>
      </c>
      <c r="W49" s="6" t="s">
        <v>20</v>
      </c>
      <c r="X49" s="6" t="s">
        <v>20</v>
      </c>
      <c r="Y49" s="6" t="s">
        <v>20</v>
      </c>
      <c r="Z49" s="6" t="s">
        <v>20</v>
      </c>
      <c r="AA49" s="80"/>
    </row>
    <row r="50" spans="2:27" ht="30" x14ac:dyDescent="0.2">
      <c r="B50" s="56" t="s">
        <v>23</v>
      </c>
      <c r="C50" s="36" t="s">
        <v>142</v>
      </c>
      <c r="D50" s="36" t="s">
        <v>142</v>
      </c>
      <c r="E50" s="36" t="s">
        <v>142</v>
      </c>
      <c r="F50" s="36" t="s">
        <v>142</v>
      </c>
      <c r="G50" s="36" t="s">
        <v>142</v>
      </c>
      <c r="H50" s="36"/>
      <c r="I50" s="36"/>
      <c r="K50" s="56" t="s">
        <v>23</v>
      </c>
      <c r="L50" s="36" t="s">
        <v>142</v>
      </c>
      <c r="M50" s="36" t="s">
        <v>142</v>
      </c>
      <c r="N50" s="36" t="s">
        <v>142</v>
      </c>
      <c r="O50" s="36" t="s">
        <v>142</v>
      </c>
      <c r="P50" s="36" t="s">
        <v>142</v>
      </c>
      <c r="Q50" s="36"/>
      <c r="R50" s="36"/>
      <c r="T50" s="13" t="s">
        <v>23</v>
      </c>
      <c r="U50" s="6" t="s">
        <v>16</v>
      </c>
      <c r="V50" s="6" t="s">
        <v>20</v>
      </c>
      <c r="W50" s="6" t="s">
        <v>20</v>
      </c>
      <c r="X50" s="6" t="s">
        <v>16</v>
      </c>
      <c r="Y50" s="6" t="s">
        <v>20</v>
      </c>
      <c r="Z50" s="6" t="s">
        <v>20</v>
      </c>
      <c r="AA50" s="80"/>
    </row>
    <row r="51" spans="2:27" ht="105" x14ac:dyDescent="0.2">
      <c r="B51" s="56" t="s">
        <v>33</v>
      </c>
      <c r="C51" s="23" t="s">
        <v>143</v>
      </c>
      <c r="D51" s="36" t="s">
        <v>147</v>
      </c>
      <c r="E51" s="23" t="s">
        <v>150</v>
      </c>
      <c r="F51" s="23" t="s">
        <v>155</v>
      </c>
      <c r="G51" s="23" t="s">
        <v>157</v>
      </c>
      <c r="H51" s="36"/>
      <c r="I51" s="36"/>
      <c r="K51" s="56" t="s">
        <v>33</v>
      </c>
      <c r="L51" s="23" t="s">
        <v>172</v>
      </c>
      <c r="M51" s="23" t="s">
        <v>175</v>
      </c>
      <c r="N51" s="23" t="s">
        <v>178</v>
      </c>
      <c r="O51" s="23" t="s">
        <v>182</v>
      </c>
      <c r="P51" s="23" t="s">
        <v>183</v>
      </c>
      <c r="Q51" s="36"/>
      <c r="R51" s="36"/>
      <c r="T51" s="13" t="s">
        <v>33</v>
      </c>
      <c r="U51" s="6" t="s">
        <v>1633</v>
      </c>
      <c r="V51" s="6" t="s">
        <v>1634</v>
      </c>
      <c r="W51" s="6" t="s">
        <v>1635</v>
      </c>
      <c r="X51" s="6" t="s">
        <v>1636</v>
      </c>
      <c r="Y51" s="6" t="s">
        <v>1637</v>
      </c>
      <c r="Z51" s="6" t="s">
        <v>1638</v>
      </c>
      <c r="AA51" s="80"/>
    </row>
    <row r="52" spans="2:27" x14ac:dyDescent="0.2">
      <c r="B52" s="59"/>
    </row>
    <row r="53" spans="2:27" x14ac:dyDescent="0.2">
      <c r="B53" s="59"/>
    </row>
    <row r="55" spans="2:27" x14ac:dyDescent="0.2">
      <c r="B55" s="111" t="s">
        <v>32</v>
      </c>
      <c r="C55" s="111"/>
      <c r="D55" s="111"/>
      <c r="E55" s="111"/>
      <c r="F55" s="111"/>
      <c r="G55" s="111"/>
      <c r="H55" s="111"/>
      <c r="I55" s="111"/>
      <c r="J55" s="111"/>
      <c r="L55" s="111" t="s">
        <v>1618</v>
      </c>
      <c r="M55" s="111"/>
      <c r="N55" s="111"/>
      <c r="O55" s="111"/>
      <c r="P55" s="111"/>
      <c r="Q55" s="111"/>
      <c r="R55" s="111"/>
      <c r="S55" s="111"/>
      <c r="T55" s="111"/>
    </row>
    <row r="56" spans="2:27" ht="30" x14ac:dyDescent="0.2">
      <c r="B56" s="58" t="s">
        <v>10</v>
      </c>
      <c r="C56" s="58" t="s">
        <v>9</v>
      </c>
      <c r="D56" s="58" t="s">
        <v>28</v>
      </c>
      <c r="E56" s="58" t="s">
        <v>27</v>
      </c>
      <c r="F56" s="58" t="s">
        <v>26</v>
      </c>
      <c r="G56" s="58" t="s">
        <v>25</v>
      </c>
      <c r="H56" s="58" t="s">
        <v>24</v>
      </c>
      <c r="I56" s="58" t="s">
        <v>5</v>
      </c>
      <c r="J56" s="58" t="s">
        <v>23</v>
      </c>
      <c r="L56" s="58" t="s">
        <v>10</v>
      </c>
      <c r="M56" s="58" t="s">
        <v>9</v>
      </c>
      <c r="N56" s="58" t="s">
        <v>28</v>
      </c>
      <c r="O56" s="58" t="s">
        <v>27</v>
      </c>
      <c r="P56" s="58" t="s">
        <v>26</v>
      </c>
      <c r="Q56" s="58" t="s">
        <v>25</v>
      </c>
      <c r="R56" s="58" t="s">
        <v>24</v>
      </c>
      <c r="S56" s="58" t="s">
        <v>5</v>
      </c>
      <c r="T56" s="58" t="s">
        <v>23</v>
      </c>
    </row>
    <row r="57" spans="2:27" ht="15" x14ac:dyDescent="0.2">
      <c r="B57" s="25" t="s">
        <v>185</v>
      </c>
      <c r="C57" s="23" t="s">
        <v>186</v>
      </c>
      <c r="D57" s="26" t="s">
        <v>170</v>
      </c>
      <c r="E57" s="26" t="s">
        <v>16</v>
      </c>
      <c r="F57" s="26" t="s">
        <v>19</v>
      </c>
      <c r="G57" s="26" t="s">
        <v>171</v>
      </c>
      <c r="H57" s="26" t="s">
        <v>17</v>
      </c>
      <c r="I57" s="26" t="s">
        <v>142</v>
      </c>
      <c r="J57" s="61" t="s">
        <v>142</v>
      </c>
      <c r="L57" s="28" t="s">
        <v>1639</v>
      </c>
      <c r="M57" s="28" t="s">
        <v>18</v>
      </c>
      <c r="N57" s="28" t="s">
        <v>440</v>
      </c>
      <c r="O57" s="28" t="s">
        <v>16</v>
      </c>
      <c r="P57" s="28" t="s">
        <v>1631</v>
      </c>
      <c r="Q57" s="28" t="s">
        <v>21</v>
      </c>
      <c r="R57" s="28" t="s">
        <v>141</v>
      </c>
      <c r="S57" s="28" t="s">
        <v>20</v>
      </c>
      <c r="T57" s="28" t="s">
        <v>16</v>
      </c>
    </row>
    <row r="58" spans="2:27" ht="15" x14ac:dyDescent="0.2">
      <c r="B58" s="25" t="s">
        <v>187</v>
      </c>
      <c r="C58" s="26" t="s">
        <v>16</v>
      </c>
      <c r="D58" s="26" t="s">
        <v>139</v>
      </c>
      <c r="E58" s="26" t="s">
        <v>16</v>
      </c>
      <c r="F58" s="26" t="s">
        <v>16</v>
      </c>
      <c r="G58" s="26" t="s">
        <v>21</v>
      </c>
      <c r="H58" s="26" t="s">
        <v>141</v>
      </c>
      <c r="I58" s="26" t="s">
        <v>142</v>
      </c>
      <c r="J58" s="61" t="s">
        <v>142</v>
      </c>
      <c r="L58" s="28" t="s">
        <v>1640</v>
      </c>
      <c r="M58" s="28" t="s">
        <v>18</v>
      </c>
      <c r="N58" s="28" t="s">
        <v>179</v>
      </c>
      <c r="O58" s="28" t="s">
        <v>20</v>
      </c>
      <c r="P58" s="28" t="s">
        <v>1631</v>
      </c>
      <c r="Q58" s="28" t="s">
        <v>21</v>
      </c>
      <c r="R58" s="28" t="s">
        <v>141</v>
      </c>
      <c r="S58" s="28" t="s">
        <v>20</v>
      </c>
      <c r="T58" s="28" t="s">
        <v>20</v>
      </c>
    </row>
    <row r="59" spans="2:27" ht="15" x14ac:dyDescent="0.2">
      <c r="B59" s="25" t="s">
        <v>188</v>
      </c>
      <c r="C59" s="26" t="s">
        <v>18</v>
      </c>
      <c r="D59" s="26" t="s">
        <v>18</v>
      </c>
      <c r="E59" s="26" t="s">
        <v>189</v>
      </c>
      <c r="F59" s="26" t="s">
        <v>18</v>
      </c>
      <c r="G59" s="26" t="s">
        <v>21</v>
      </c>
      <c r="H59" s="26" t="s">
        <v>141</v>
      </c>
      <c r="I59" s="26" t="s">
        <v>190</v>
      </c>
      <c r="J59" s="61" t="s">
        <v>142</v>
      </c>
      <c r="L59" s="28" t="s">
        <v>1641</v>
      </c>
      <c r="M59" s="28" t="s">
        <v>315</v>
      </c>
      <c r="N59" s="28" t="s">
        <v>440</v>
      </c>
      <c r="O59" s="28" t="s">
        <v>16</v>
      </c>
      <c r="P59" s="28" t="s">
        <v>16</v>
      </c>
      <c r="Q59" s="28" t="s">
        <v>21</v>
      </c>
      <c r="R59" s="28" t="s">
        <v>141</v>
      </c>
      <c r="S59" s="28" t="s">
        <v>20</v>
      </c>
      <c r="T59" s="28" t="s">
        <v>20</v>
      </c>
    </row>
    <row r="60" spans="2:27" ht="15" x14ac:dyDescent="0.2">
      <c r="B60" s="25" t="s">
        <v>191</v>
      </c>
      <c r="C60" s="26" t="s">
        <v>192</v>
      </c>
      <c r="D60" s="26" t="s">
        <v>18</v>
      </c>
      <c r="E60" s="26" t="s">
        <v>189</v>
      </c>
      <c r="F60" s="26" t="s">
        <v>16</v>
      </c>
      <c r="G60" s="26" t="s">
        <v>21</v>
      </c>
      <c r="H60" s="26" t="s">
        <v>141</v>
      </c>
      <c r="I60" s="26" t="s">
        <v>142</v>
      </c>
      <c r="J60" s="61" t="s">
        <v>142</v>
      </c>
      <c r="L60" s="28" t="s">
        <v>1642</v>
      </c>
      <c r="M60" s="28" t="s">
        <v>18</v>
      </c>
      <c r="N60" s="28" t="s">
        <v>179</v>
      </c>
      <c r="O60" s="28" t="s">
        <v>20</v>
      </c>
      <c r="P60" s="28" t="s">
        <v>16</v>
      </c>
      <c r="Q60" s="28" t="s">
        <v>21</v>
      </c>
      <c r="R60" s="28" t="s">
        <v>141</v>
      </c>
      <c r="S60" s="28" t="s">
        <v>20</v>
      </c>
      <c r="T60" s="28" t="s">
        <v>16</v>
      </c>
    </row>
    <row r="61" spans="2:27" ht="15" x14ac:dyDescent="0.2">
      <c r="B61" s="25" t="s">
        <v>193</v>
      </c>
      <c r="C61" s="26" t="s">
        <v>21</v>
      </c>
      <c r="D61" s="26" t="s">
        <v>194</v>
      </c>
      <c r="E61" s="26" t="s">
        <v>189</v>
      </c>
      <c r="F61" s="26" t="s">
        <v>16</v>
      </c>
      <c r="G61" s="26" t="s">
        <v>21</v>
      </c>
      <c r="H61" s="26" t="s">
        <v>141</v>
      </c>
      <c r="I61" s="26" t="s">
        <v>190</v>
      </c>
      <c r="J61" s="61" t="s">
        <v>142</v>
      </c>
      <c r="L61" s="28" t="s">
        <v>1643</v>
      </c>
      <c r="M61" s="28" t="s">
        <v>16</v>
      </c>
      <c r="N61" s="28" t="s">
        <v>18</v>
      </c>
      <c r="O61" s="28" t="s">
        <v>20</v>
      </c>
      <c r="P61" s="28" t="s">
        <v>140</v>
      </c>
      <c r="Q61" s="28" t="s">
        <v>21</v>
      </c>
      <c r="R61" s="28" t="s">
        <v>141</v>
      </c>
      <c r="S61" s="28" t="s">
        <v>20</v>
      </c>
      <c r="T61" s="28" t="s">
        <v>20</v>
      </c>
    </row>
    <row r="62" spans="2:27" ht="15" x14ac:dyDescent="0.2">
      <c r="B62" s="25" t="s">
        <v>195</v>
      </c>
      <c r="C62" s="26" t="s">
        <v>21</v>
      </c>
      <c r="D62" s="26" t="s">
        <v>173</v>
      </c>
      <c r="E62" s="26" t="s">
        <v>192</v>
      </c>
      <c r="F62" s="26" t="s">
        <v>21</v>
      </c>
      <c r="G62" s="26" t="s">
        <v>196</v>
      </c>
      <c r="H62" s="26" t="s">
        <v>16</v>
      </c>
      <c r="I62" s="26" t="s">
        <v>142</v>
      </c>
      <c r="J62" s="61" t="s">
        <v>142</v>
      </c>
      <c r="L62" s="28" t="s">
        <v>1644</v>
      </c>
      <c r="M62" s="28" t="s">
        <v>16</v>
      </c>
      <c r="N62" s="28" t="s">
        <v>440</v>
      </c>
      <c r="O62" s="28" t="s">
        <v>20</v>
      </c>
      <c r="P62" s="28" t="s">
        <v>1632</v>
      </c>
      <c r="Q62" s="28" t="s">
        <v>21</v>
      </c>
      <c r="R62" s="28" t="s">
        <v>141</v>
      </c>
      <c r="S62" s="28" t="s">
        <v>20</v>
      </c>
      <c r="T62" s="28" t="s">
        <v>20</v>
      </c>
    </row>
    <row r="63" spans="2:27" ht="15" x14ac:dyDescent="0.2">
      <c r="B63" s="25" t="s">
        <v>197</v>
      </c>
      <c r="C63" s="26" t="s">
        <v>18</v>
      </c>
      <c r="D63" s="26" t="s">
        <v>181</v>
      </c>
      <c r="E63" s="26" t="s">
        <v>20</v>
      </c>
      <c r="F63" s="26" t="s">
        <v>1617</v>
      </c>
      <c r="G63" s="26" t="s">
        <v>139</v>
      </c>
      <c r="H63" s="26" t="s">
        <v>181</v>
      </c>
      <c r="I63" s="26" t="s">
        <v>20</v>
      </c>
      <c r="J63" s="61" t="s">
        <v>142</v>
      </c>
      <c r="L63" s="61"/>
      <c r="M63" s="61"/>
      <c r="N63" s="61"/>
      <c r="O63" s="61"/>
      <c r="P63" s="61"/>
      <c r="Q63" s="61"/>
      <c r="R63" s="61"/>
      <c r="S63" s="61"/>
      <c r="T63" s="61"/>
    </row>
    <row r="64" spans="2:27" ht="15" x14ac:dyDescent="0.2">
      <c r="B64" s="25" t="s">
        <v>198</v>
      </c>
      <c r="C64" s="26" t="s">
        <v>19</v>
      </c>
      <c r="D64" s="26" t="s">
        <v>181</v>
      </c>
      <c r="E64" s="26" t="s">
        <v>20</v>
      </c>
      <c r="F64" s="26" t="s">
        <v>16</v>
      </c>
      <c r="G64" s="26" t="s">
        <v>171</v>
      </c>
      <c r="H64" s="26" t="s">
        <v>199</v>
      </c>
      <c r="I64" s="26" t="s">
        <v>142</v>
      </c>
      <c r="J64" s="61" t="s">
        <v>142</v>
      </c>
      <c r="L64" s="61"/>
      <c r="M64" s="61"/>
      <c r="N64" s="61"/>
      <c r="O64" s="61"/>
      <c r="P64" s="61"/>
      <c r="Q64" s="61"/>
      <c r="R64" s="61"/>
      <c r="S64" s="61"/>
      <c r="T64" s="61"/>
    </row>
    <row r="65" spans="2:20" x14ac:dyDescent="0.2">
      <c r="B65" s="61"/>
      <c r="C65" s="61"/>
      <c r="D65" s="61"/>
      <c r="E65" s="61"/>
      <c r="F65" s="61"/>
      <c r="G65" s="61"/>
      <c r="H65" s="61"/>
      <c r="I65" s="61"/>
      <c r="J65" s="61"/>
      <c r="L65" s="61"/>
      <c r="M65" s="61"/>
      <c r="N65" s="61"/>
      <c r="O65" s="61"/>
      <c r="P65" s="61"/>
      <c r="Q65" s="61"/>
      <c r="R65" s="61"/>
      <c r="S65" s="61"/>
      <c r="T65" s="61"/>
    </row>
    <row r="66" spans="2:20" x14ac:dyDescent="0.2">
      <c r="B66" s="61"/>
      <c r="C66" s="61"/>
      <c r="D66" s="61"/>
      <c r="E66" s="61"/>
      <c r="F66" s="61"/>
      <c r="G66" s="61"/>
      <c r="H66" s="61"/>
      <c r="I66" s="61"/>
      <c r="J66" s="61"/>
      <c r="L66" s="61"/>
      <c r="M66" s="61"/>
      <c r="N66" s="61"/>
      <c r="O66" s="61"/>
      <c r="P66" s="61"/>
      <c r="Q66" s="61"/>
      <c r="R66" s="61"/>
      <c r="S66" s="61"/>
      <c r="T66" s="61"/>
    </row>
    <row r="67" spans="2:20" x14ac:dyDescent="0.2">
      <c r="B67" s="78"/>
      <c r="C67" s="78"/>
      <c r="D67" s="78"/>
      <c r="E67" s="78"/>
      <c r="F67" s="78"/>
      <c r="G67" s="78"/>
      <c r="H67" s="78"/>
      <c r="I67" s="78"/>
      <c r="J67" s="78"/>
    </row>
    <row r="69" spans="2:20" x14ac:dyDescent="0.2">
      <c r="B69" s="119" t="s">
        <v>30</v>
      </c>
      <c r="C69" s="120"/>
      <c r="D69" s="120"/>
      <c r="E69" s="120"/>
      <c r="F69" s="120"/>
      <c r="G69" s="120"/>
      <c r="H69" s="120"/>
      <c r="I69" s="120"/>
      <c r="J69" s="120"/>
      <c r="K69" s="120"/>
    </row>
    <row r="70" spans="2:20" ht="15" x14ac:dyDescent="0.2">
      <c r="B70" s="79" t="s">
        <v>29</v>
      </c>
      <c r="C70" s="79" t="s">
        <v>9</v>
      </c>
      <c r="D70" s="79" t="s">
        <v>28</v>
      </c>
      <c r="E70" s="79" t="s">
        <v>27</v>
      </c>
      <c r="F70" s="79" t="s">
        <v>26</v>
      </c>
      <c r="G70" s="79" t="s">
        <v>25</v>
      </c>
      <c r="H70" s="79" t="s">
        <v>24</v>
      </c>
      <c r="I70" s="79" t="s">
        <v>5</v>
      </c>
      <c r="J70" s="79" t="s">
        <v>23</v>
      </c>
      <c r="K70" s="58" t="s">
        <v>216</v>
      </c>
    </row>
    <row r="71" spans="2:20" ht="30" x14ac:dyDescent="0.2">
      <c r="B71" s="25" t="s">
        <v>200</v>
      </c>
      <c r="C71" s="26" t="s">
        <v>192</v>
      </c>
      <c r="D71" s="26" t="s">
        <v>201</v>
      </c>
      <c r="E71" s="26" t="s">
        <v>21</v>
      </c>
      <c r="F71" s="23" t="s">
        <v>202</v>
      </c>
      <c r="G71" s="26" t="s">
        <v>21</v>
      </c>
      <c r="H71" s="26" t="s">
        <v>21</v>
      </c>
      <c r="I71" s="26" t="s">
        <v>203</v>
      </c>
      <c r="J71" s="23" t="s">
        <v>204</v>
      </c>
      <c r="K71" s="26" t="s">
        <v>217</v>
      </c>
    </row>
    <row r="72" spans="2:20" ht="15" x14ac:dyDescent="0.2">
      <c r="B72" s="25" t="s">
        <v>205</v>
      </c>
      <c r="C72" s="26" t="s">
        <v>19</v>
      </c>
      <c r="D72" s="26" t="s">
        <v>206</v>
      </c>
      <c r="E72" s="26" t="s">
        <v>20</v>
      </c>
      <c r="F72" s="26" t="s">
        <v>207</v>
      </c>
      <c r="G72" s="23" t="s">
        <v>208</v>
      </c>
      <c r="H72" s="26" t="s">
        <v>17</v>
      </c>
      <c r="I72" s="26" t="s">
        <v>142</v>
      </c>
      <c r="J72" s="23" t="s">
        <v>209</v>
      </c>
      <c r="K72" s="26" t="s">
        <v>218</v>
      </c>
    </row>
    <row r="73" spans="2:20" ht="30" x14ac:dyDescent="0.2">
      <c r="B73" s="25" t="s">
        <v>210</v>
      </c>
      <c r="C73" s="26" t="s">
        <v>16</v>
      </c>
      <c r="D73" s="26" t="s">
        <v>139</v>
      </c>
      <c r="E73" s="26" t="s">
        <v>16</v>
      </c>
      <c r="F73" s="26" t="s">
        <v>16</v>
      </c>
      <c r="G73" s="26" t="s">
        <v>21</v>
      </c>
      <c r="H73" s="26" t="s">
        <v>141</v>
      </c>
      <c r="I73" s="26" t="s">
        <v>142</v>
      </c>
      <c r="J73" s="26" t="s">
        <v>211</v>
      </c>
      <c r="K73" s="26" t="s">
        <v>219</v>
      </c>
    </row>
    <row r="74" spans="2:20" ht="30" x14ac:dyDescent="0.2">
      <c r="B74" s="25" t="s">
        <v>212</v>
      </c>
      <c r="C74" s="26" t="s">
        <v>18</v>
      </c>
      <c r="D74" s="26" t="s">
        <v>213</v>
      </c>
      <c r="E74" s="26" t="s">
        <v>20</v>
      </c>
      <c r="F74" s="23" t="s">
        <v>214</v>
      </c>
      <c r="G74" s="26" t="s">
        <v>21</v>
      </c>
      <c r="H74" s="26" t="s">
        <v>141</v>
      </c>
      <c r="I74" s="26" t="s">
        <v>20</v>
      </c>
      <c r="J74" s="26" t="s">
        <v>215</v>
      </c>
      <c r="K74" s="26" t="s">
        <v>219</v>
      </c>
    </row>
    <row r="75" spans="2:20" x14ac:dyDescent="0.2">
      <c r="B75" s="36"/>
      <c r="C75" s="67"/>
      <c r="D75" s="36"/>
      <c r="E75" s="36"/>
      <c r="F75" s="36"/>
      <c r="G75" s="36"/>
      <c r="H75" s="36"/>
      <c r="I75" s="36"/>
      <c r="J75" s="36"/>
      <c r="K75" s="80"/>
    </row>
    <row r="76" spans="2:20" x14ac:dyDescent="0.2">
      <c r="B76" s="36"/>
      <c r="C76" s="65"/>
      <c r="D76" s="36"/>
      <c r="E76" s="36"/>
      <c r="F76" s="36"/>
      <c r="G76" s="36"/>
      <c r="H76" s="36"/>
      <c r="I76" s="36"/>
      <c r="J76" s="36"/>
      <c r="K76" s="80"/>
    </row>
    <row r="77" spans="2:20" x14ac:dyDescent="0.2">
      <c r="B77" s="36"/>
      <c r="C77" s="36"/>
      <c r="D77" s="65"/>
      <c r="E77" s="36"/>
      <c r="F77" s="36"/>
      <c r="G77" s="36"/>
      <c r="H77" s="36"/>
      <c r="I77" s="36"/>
      <c r="J77" s="36"/>
      <c r="K77" s="80"/>
    </row>
    <row r="78" spans="2:20" x14ac:dyDescent="0.2">
      <c r="B78" s="81"/>
      <c r="C78" s="82"/>
      <c r="D78" s="81"/>
      <c r="E78" s="81"/>
      <c r="F78" s="81"/>
      <c r="G78" s="81"/>
      <c r="H78" s="81"/>
      <c r="I78" s="81"/>
      <c r="J78" s="81"/>
      <c r="K78" s="80"/>
    </row>
    <row r="79" spans="2:20" x14ac:dyDescent="0.2">
      <c r="B79" s="36"/>
      <c r="C79" s="36"/>
      <c r="D79" s="36"/>
      <c r="E79" s="36"/>
      <c r="F79" s="36"/>
      <c r="G79" s="36"/>
      <c r="H79" s="36"/>
      <c r="I79" s="36"/>
      <c r="J79" s="36"/>
      <c r="K79" s="80"/>
    </row>
    <row r="81" spans="2:11" x14ac:dyDescent="0.2">
      <c r="B81" s="114" t="s">
        <v>15</v>
      </c>
      <c r="C81" s="114"/>
      <c r="D81" s="114"/>
      <c r="E81" s="114"/>
      <c r="F81" s="114"/>
      <c r="G81" s="114"/>
      <c r="H81" s="114"/>
    </row>
    <row r="82" spans="2:11" ht="15" x14ac:dyDescent="0.2">
      <c r="B82" s="64" t="s">
        <v>10</v>
      </c>
      <c r="C82" s="64" t="s">
        <v>9</v>
      </c>
      <c r="D82" s="64" t="s">
        <v>14</v>
      </c>
      <c r="E82" s="64" t="s">
        <v>7</v>
      </c>
      <c r="F82" s="64" t="s">
        <v>13</v>
      </c>
      <c r="G82" s="64" t="s">
        <v>5</v>
      </c>
      <c r="H82" s="64" t="s">
        <v>12</v>
      </c>
      <c r="J82" s="105" t="s">
        <v>11</v>
      </c>
      <c r="K82" s="106"/>
    </row>
    <row r="83" spans="2:11" ht="15" x14ac:dyDescent="0.2">
      <c r="B83" s="58" t="s">
        <v>10</v>
      </c>
      <c r="C83" s="58" t="s">
        <v>9</v>
      </c>
      <c r="D83" s="58" t="s">
        <v>8</v>
      </c>
      <c r="E83" s="58" t="s">
        <v>7</v>
      </c>
      <c r="F83" s="58" t="s">
        <v>6</v>
      </c>
      <c r="G83" s="58" t="s">
        <v>5</v>
      </c>
      <c r="H83" s="58" t="s">
        <v>4</v>
      </c>
      <c r="J83" s="105" t="s">
        <v>3</v>
      </c>
      <c r="K83" s="106"/>
    </row>
    <row r="84" spans="2:11" x14ac:dyDescent="0.2">
      <c r="B84" s="29" t="s">
        <v>220</v>
      </c>
      <c r="C84" s="26">
        <v>4</v>
      </c>
      <c r="D84" s="26">
        <v>4</v>
      </c>
      <c r="E84" s="26">
        <v>5</v>
      </c>
      <c r="F84" s="26">
        <v>4</v>
      </c>
      <c r="G84" s="26">
        <v>3</v>
      </c>
      <c r="H84" s="66">
        <f>AVERAGE(C84:G84)</f>
        <v>4</v>
      </c>
      <c r="J84" s="105" t="s">
        <v>2</v>
      </c>
      <c r="K84" s="106"/>
    </row>
    <row r="85" spans="2:11" ht="15" x14ac:dyDescent="0.2">
      <c r="B85" s="25" t="s">
        <v>221</v>
      </c>
      <c r="C85" s="26">
        <v>3</v>
      </c>
      <c r="D85" s="26">
        <v>5</v>
      </c>
      <c r="E85" s="26">
        <v>3</v>
      </c>
      <c r="F85" s="26">
        <v>4</v>
      </c>
      <c r="G85" s="26">
        <v>3</v>
      </c>
      <c r="H85" s="66">
        <f t="shared" ref="H85:H90" si="0">AVERAGE(C85:G85)</f>
        <v>3.6</v>
      </c>
      <c r="J85" s="105" t="s">
        <v>1</v>
      </c>
      <c r="K85" s="106"/>
    </row>
    <row r="86" spans="2:11" ht="15" x14ac:dyDescent="0.2">
      <c r="B86" s="25" t="s">
        <v>222</v>
      </c>
      <c r="C86" s="26">
        <v>3</v>
      </c>
      <c r="D86" s="26">
        <v>5</v>
      </c>
      <c r="E86" s="26">
        <v>3</v>
      </c>
      <c r="F86" s="26">
        <v>4</v>
      </c>
      <c r="G86" s="26">
        <v>3</v>
      </c>
      <c r="H86" s="66">
        <f t="shared" si="0"/>
        <v>3.6</v>
      </c>
      <c r="J86" s="106" t="s">
        <v>0</v>
      </c>
      <c r="K86" s="106"/>
    </row>
    <row r="87" spans="2:11" ht="15" x14ac:dyDescent="0.2">
      <c r="B87" s="25" t="s">
        <v>197</v>
      </c>
      <c r="C87" s="26">
        <v>3</v>
      </c>
      <c r="D87" s="26">
        <v>5</v>
      </c>
      <c r="E87" s="26">
        <v>4</v>
      </c>
      <c r="F87" s="26">
        <v>2</v>
      </c>
      <c r="G87" s="26">
        <v>3</v>
      </c>
      <c r="H87" s="66">
        <f t="shared" si="0"/>
        <v>3.4</v>
      </c>
    </row>
    <row r="88" spans="2:11" ht="30" x14ac:dyDescent="0.2">
      <c r="B88" s="25" t="s">
        <v>223</v>
      </c>
      <c r="C88" s="26">
        <v>2</v>
      </c>
      <c r="D88" s="26">
        <v>5</v>
      </c>
      <c r="E88" s="26">
        <v>2</v>
      </c>
      <c r="F88" s="26">
        <v>3</v>
      </c>
      <c r="G88" s="26">
        <v>3</v>
      </c>
      <c r="H88" s="66">
        <f t="shared" si="0"/>
        <v>3</v>
      </c>
    </row>
    <row r="89" spans="2:11" ht="15" x14ac:dyDescent="0.2">
      <c r="B89" s="25" t="s">
        <v>188</v>
      </c>
      <c r="C89" s="26">
        <v>3</v>
      </c>
      <c r="D89" s="26">
        <v>3</v>
      </c>
      <c r="E89" s="26">
        <v>4</v>
      </c>
      <c r="F89" s="26">
        <v>4</v>
      </c>
      <c r="G89" s="26">
        <v>3</v>
      </c>
      <c r="H89" s="66">
        <f t="shared" si="0"/>
        <v>3.4</v>
      </c>
    </row>
    <row r="90" spans="2:11" ht="15" x14ac:dyDescent="0.2">
      <c r="B90" s="25" t="s">
        <v>185</v>
      </c>
      <c r="C90" s="26">
        <v>2</v>
      </c>
      <c r="D90" s="26">
        <v>1</v>
      </c>
      <c r="E90" s="26">
        <v>5</v>
      </c>
      <c r="F90" s="26">
        <v>5</v>
      </c>
      <c r="G90" s="26">
        <v>3</v>
      </c>
      <c r="H90" s="66">
        <f t="shared" si="0"/>
        <v>3.2</v>
      </c>
    </row>
    <row r="91" spans="2:11" x14ac:dyDescent="0.2">
      <c r="B91" s="61"/>
      <c r="C91" s="61"/>
      <c r="D91" s="61"/>
      <c r="E91" s="61"/>
      <c r="F91" s="61"/>
      <c r="G91" s="61"/>
      <c r="H91" s="66"/>
    </row>
    <row r="92" spans="2:11" x14ac:dyDescent="0.2">
      <c r="B92" s="61"/>
      <c r="C92" s="61"/>
      <c r="D92" s="61"/>
      <c r="E92" s="61"/>
      <c r="F92" s="61"/>
      <c r="G92" s="61"/>
      <c r="H92" s="66"/>
    </row>
    <row r="93" spans="2:11" x14ac:dyDescent="0.2">
      <c r="B93" s="61"/>
      <c r="C93" s="61"/>
      <c r="D93" s="61"/>
      <c r="E93" s="61"/>
      <c r="F93" s="61"/>
      <c r="G93" s="61"/>
      <c r="H93" s="66"/>
    </row>
    <row r="98" spans="1:14" ht="15" x14ac:dyDescent="0.2">
      <c r="A98" s="90" t="s">
        <v>1615</v>
      </c>
      <c r="B98" s="103"/>
      <c r="C98" s="103"/>
      <c r="D98" s="103"/>
      <c r="E98" s="103"/>
      <c r="F98" s="103"/>
      <c r="G98" s="103"/>
      <c r="H98" s="103"/>
      <c r="I98" s="103"/>
      <c r="J98" s="103"/>
      <c r="K98" s="103"/>
      <c r="L98" s="103"/>
      <c r="M98" s="103"/>
      <c r="N98" s="104"/>
    </row>
    <row r="99" spans="1:14" ht="15" x14ac:dyDescent="0.2">
      <c r="A99" s="87" t="s">
        <v>1565</v>
      </c>
      <c r="B99" s="103"/>
      <c r="C99" s="103"/>
      <c r="D99" s="103"/>
      <c r="E99" s="103"/>
      <c r="F99" s="103"/>
      <c r="G99" s="103"/>
      <c r="H99" s="103"/>
      <c r="I99" s="103"/>
      <c r="J99" s="103"/>
      <c r="K99" s="103"/>
      <c r="L99" s="103"/>
      <c r="M99" s="103"/>
      <c r="N99" s="104"/>
    </row>
    <row r="100" spans="1:14" ht="15" x14ac:dyDescent="0.2">
      <c r="A100" s="87" t="s">
        <v>1566</v>
      </c>
      <c r="B100" s="103"/>
      <c r="C100" s="103"/>
      <c r="D100" s="103"/>
      <c r="E100" s="103"/>
      <c r="F100" s="103"/>
      <c r="G100" s="103"/>
      <c r="H100" s="103"/>
      <c r="I100" s="103"/>
      <c r="J100" s="103"/>
      <c r="K100" s="103"/>
      <c r="L100" s="103"/>
      <c r="M100" s="103"/>
      <c r="N100" s="104"/>
    </row>
    <row r="101" spans="1:14" ht="15" x14ac:dyDescent="0.2">
      <c r="A101" s="87" t="s">
        <v>1567</v>
      </c>
      <c r="B101" s="103"/>
      <c r="C101" s="103"/>
      <c r="D101" s="103"/>
      <c r="E101" s="103"/>
      <c r="F101" s="103"/>
      <c r="G101" s="103"/>
      <c r="H101" s="103"/>
      <c r="I101" s="103"/>
      <c r="J101" s="103"/>
      <c r="K101" s="103"/>
      <c r="L101" s="103"/>
      <c r="M101" s="103"/>
      <c r="N101" s="104"/>
    </row>
    <row r="102" spans="1:14" ht="15" x14ac:dyDescent="0.2">
      <c r="A102" s="87" t="s">
        <v>1568</v>
      </c>
      <c r="B102" s="103"/>
      <c r="C102" s="103"/>
      <c r="D102" s="103"/>
      <c r="E102" s="103"/>
      <c r="F102" s="103"/>
      <c r="G102" s="103"/>
      <c r="H102" s="103"/>
      <c r="I102" s="103"/>
      <c r="J102" s="103"/>
      <c r="K102" s="103"/>
      <c r="L102" s="103"/>
      <c r="M102" s="103"/>
      <c r="N102" s="104"/>
    </row>
  </sheetData>
  <mergeCells count="40">
    <mergeCell ref="B1:F1"/>
    <mergeCell ref="C15:E15"/>
    <mergeCell ref="B69:K69"/>
    <mergeCell ref="H32:J32"/>
    <mergeCell ref="C7:E7"/>
    <mergeCell ref="B10:E10"/>
    <mergeCell ref="G10:I10"/>
    <mergeCell ref="C11:E11"/>
    <mergeCell ref="C12:E12"/>
    <mergeCell ref="C13:E13"/>
    <mergeCell ref="L55:T55"/>
    <mergeCell ref="B81:H81"/>
    <mergeCell ref="J82:K82"/>
    <mergeCell ref="C33:E33"/>
    <mergeCell ref="H33:J33"/>
    <mergeCell ref="C34:E34"/>
    <mergeCell ref="H34:J34"/>
    <mergeCell ref="C35:E35"/>
    <mergeCell ref="H35:J35"/>
    <mergeCell ref="J83:K83"/>
    <mergeCell ref="J84:K84"/>
    <mergeCell ref="J85:K85"/>
    <mergeCell ref="J86:K86"/>
    <mergeCell ref="C2:F2"/>
    <mergeCell ref="C3:F3"/>
    <mergeCell ref="C4:F4"/>
    <mergeCell ref="C5:F5"/>
    <mergeCell ref="C6:F6"/>
    <mergeCell ref="H36:J36"/>
    <mergeCell ref="B55:J55"/>
    <mergeCell ref="C14:E14"/>
    <mergeCell ref="B17:C17"/>
    <mergeCell ref="B31:E31"/>
    <mergeCell ref="G31:J31"/>
    <mergeCell ref="C32:E32"/>
    <mergeCell ref="A98:N98"/>
    <mergeCell ref="A99:N99"/>
    <mergeCell ref="A100:N100"/>
    <mergeCell ref="A101:N101"/>
    <mergeCell ref="A102:N102"/>
  </mergeCells>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8985-5616-4E01-B7FB-31B0D87A4C54}">
  <dimension ref="A1:V115"/>
  <sheetViews>
    <sheetView zoomScaleNormal="100" workbookViewId="0">
      <selection activeCell="H13" sqref="H13"/>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25" t="s">
        <v>82</v>
      </c>
      <c r="D2" s="126"/>
      <c r="E2" s="127"/>
    </row>
    <row r="3" spans="2:9" ht="12.75" customHeight="1" x14ac:dyDescent="0.2">
      <c r="B3" s="13" t="s">
        <v>69</v>
      </c>
      <c r="C3" s="125" t="s">
        <v>224</v>
      </c>
      <c r="D3" s="126"/>
      <c r="E3" s="127"/>
    </row>
    <row r="4" spans="2:9" ht="12.75" customHeight="1" x14ac:dyDescent="0.2">
      <c r="B4" s="13" t="s">
        <v>68</v>
      </c>
      <c r="C4" s="125" t="s">
        <v>225</v>
      </c>
      <c r="D4" s="126"/>
      <c r="E4" s="127"/>
    </row>
    <row r="5" spans="2:9" ht="12.75" customHeight="1" x14ac:dyDescent="0.2">
      <c r="B5" s="13" t="s">
        <v>67</v>
      </c>
      <c r="C5" s="125" t="s">
        <v>226</v>
      </c>
      <c r="D5" s="126"/>
      <c r="E5" s="127"/>
    </row>
    <row r="6" spans="2:9" ht="12.75" customHeight="1" x14ac:dyDescent="0.2">
      <c r="B6" s="13" t="s">
        <v>66</v>
      </c>
      <c r="C6" s="125" t="s">
        <v>227</v>
      </c>
      <c r="D6" s="126"/>
      <c r="E6" s="127"/>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25" t="s">
        <v>228</v>
      </c>
      <c r="C11" s="99" t="s">
        <v>229</v>
      </c>
      <c r="D11" s="99"/>
      <c r="E11" s="99"/>
      <c r="G11" s="4" t="s">
        <v>62</v>
      </c>
      <c r="H11" s="4" t="s">
        <v>61</v>
      </c>
      <c r="I11" s="4" t="s">
        <v>60</v>
      </c>
    </row>
    <row r="12" spans="2:9" ht="45" customHeight="1" x14ac:dyDescent="0.2">
      <c r="B12" s="25" t="s">
        <v>230</v>
      </c>
      <c r="C12" s="99" t="s">
        <v>231</v>
      </c>
      <c r="D12" s="99"/>
      <c r="E12" s="99"/>
      <c r="G12" s="19">
        <v>1</v>
      </c>
      <c r="H12" s="23" t="s">
        <v>242</v>
      </c>
      <c r="I12" s="19" t="s">
        <v>253</v>
      </c>
    </row>
    <row r="13" spans="2:9" ht="62.25" customHeight="1" x14ac:dyDescent="0.2">
      <c r="B13" s="33" t="s">
        <v>232</v>
      </c>
      <c r="C13" s="99" t="s">
        <v>233</v>
      </c>
      <c r="D13" s="99"/>
      <c r="E13" s="99"/>
      <c r="G13" s="19">
        <v>2</v>
      </c>
      <c r="H13" s="23" t="s">
        <v>243</v>
      </c>
      <c r="I13" s="19" t="s">
        <v>254</v>
      </c>
    </row>
    <row r="14" spans="2:9" ht="54.75" customHeight="1" x14ac:dyDescent="0.2">
      <c r="B14" s="33" t="s">
        <v>237</v>
      </c>
      <c r="C14" s="99" t="s">
        <v>234</v>
      </c>
      <c r="D14" s="99"/>
      <c r="E14" s="99"/>
      <c r="G14" s="19">
        <v>3</v>
      </c>
      <c r="H14" s="23" t="s">
        <v>244</v>
      </c>
      <c r="I14" s="19" t="s">
        <v>255</v>
      </c>
    </row>
    <row r="15" spans="2:9" ht="54.75" customHeight="1" x14ac:dyDescent="0.2">
      <c r="B15" s="25" t="s">
        <v>238</v>
      </c>
      <c r="C15" s="99" t="s">
        <v>235</v>
      </c>
      <c r="D15" s="99"/>
      <c r="E15" s="99"/>
      <c r="G15" s="19">
        <v>4</v>
      </c>
      <c r="H15" s="23" t="s">
        <v>245</v>
      </c>
      <c r="I15" s="19" t="s">
        <v>256</v>
      </c>
    </row>
    <row r="16" spans="2:9" ht="54.75" customHeight="1" x14ac:dyDescent="0.2">
      <c r="B16" s="25" t="s">
        <v>239</v>
      </c>
      <c r="C16" s="99" t="s">
        <v>236</v>
      </c>
      <c r="D16" s="99"/>
      <c r="E16" s="99"/>
      <c r="G16" s="19">
        <v>5</v>
      </c>
      <c r="H16" s="23" t="s">
        <v>246</v>
      </c>
      <c r="I16" s="19" t="s">
        <v>257</v>
      </c>
    </row>
    <row r="17" spans="2:9" ht="54.75" customHeight="1" x14ac:dyDescent="0.2">
      <c r="B17" s="24" t="s">
        <v>240</v>
      </c>
      <c r="C17" s="99" t="s">
        <v>241</v>
      </c>
      <c r="D17" s="99"/>
      <c r="E17" s="99"/>
      <c r="G17" s="19">
        <v>6</v>
      </c>
      <c r="H17" s="23" t="s">
        <v>247</v>
      </c>
      <c r="I17" s="19" t="s">
        <v>121</v>
      </c>
    </row>
    <row r="18" spans="2:9" ht="54.75" customHeight="1" x14ac:dyDescent="0.2">
      <c r="B18" s="12"/>
      <c r="C18" s="21"/>
      <c r="D18" s="21"/>
      <c r="E18" s="21"/>
      <c r="G18" s="19">
        <v>7</v>
      </c>
      <c r="H18" s="23" t="s">
        <v>248</v>
      </c>
      <c r="I18" s="19" t="s">
        <v>258</v>
      </c>
    </row>
    <row r="19" spans="2:9" ht="30" x14ac:dyDescent="0.2">
      <c r="G19" s="19">
        <v>8</v>
      </c>
      <c r="H19" s="23" t="s">
        <v>249</v>
      </c>
      <c r="I19" s="19" t="s">
        <v>259</v>
      </c>
    </row>
    <row r="20" spans="2:9" ht="12.75" customHeight="1" x14ac:dyDescent="0.2">
      <c r="B20" s="96" t="s">
        <v>58</v>
      </c>
      <c r="C20" s="96"/>
      <c r="G20" s="19">
        <v>9</v>
      </c>
      <c r="H20" s="23" t="s">
        <v>250</v>
      </c>
      <c r="I20" s="19" t="s">
        <v>260</v>
      </c>
    </row>
    <row r="21" spans="2:9" ht="30" x14ac:dyDescent="0.2">
      <c r="B21" s="4" t="s">
        <v>57</v>
      </c>
      <c r="C21" s="4" t="s">
        <v>56</v>
      </c>
      <c r="G21" s="19">
        <v>10</v>
      </c>
      <c r="H21" s="23" t="s">
        <v>251</v>
      </c>
      <c r="I21" s="19" t="s">
        <v>259</v>
      </c>
    </row>
    <row r="22" spans="2:9" ht="30" x14ac:dyDescent="0.2">
      <c r="B22" s="25" t="s">
        <v>275</v>
      </c>
      <c r="C22" s="23" t="s">
        <v>1884</v>
      </c>
      <c r="G22" s="19">
        <v>11</v>
      </c>
      <c r="H22" s="23" t="s">
        <v>252</v>
      </c>
      <c r="I22" s="19" t="s">
        <v>261</v>
      </c>
    </row>
    <row r="23" spans="2:9" ht="45" x14ac:dyDescent="0.2">
      <c r="B23" s="25" t="s">
        <v>9</v>
      </c>
      <c r="C23" s="23" t="s">
        <v>264</v>
      </c>
      <c r="G23" s="35"/>
      <c r="H23" s="35"/>
      <c r="I23" s="35"/>
    </row>
    <row r="24" spans="2:9" ht="45" x14ac:dyDescent="0.2">
      <c r="B24" s="25" t="s">
        <v>28</v>
      </c>
      <c r="C24" s="23" t="s">
        <v>265</v>
      </c>
      <c r="E24" s="37" t="s">
        <v>276</v>
      </c>
      <c r="F24" s="38" t="s">
        <v>277</v>
      </c>
      <c r="G24" s="17"/>
    </row>
    <row r="25" spans="2:9" ht="60" x14ac:dyDescent="0.2">
      <c r="B25" s="25" t="s">
        <v>262</v>
      </c>
      <c r="C25" s="23" t="s">
        <v>266</v>
      </c>
      <c r="E25" s="25" t="s">
        <v>278</v>
      </c>
      <c r="F25" s="36" t="s">
        <v>279</v>
      </c>
      <c r="G25" s="17"/>
    </row>
    <row r="26" spans="2:9" ht="60" x14ac:dyDescent="0.2">
      <c r="B26" s="25" t="s">
        <v>263</v>
      </c>
      <c r="C26" s="23" t="s">
        <v>267</v>
      </c>
      <c r="E26" s="25" t="s">
        <v>280</v>
      </c>
      <c r="F26" s="36" t="s">
        <v>281</v>
      </c>
      <c r="G26" s="17"/>
    </row>
    <row r="27" spans="2:9" ht="45" x14ac:dyDescent="0.2">
      <c r="B27" s="25" t="s">
        <v>27</v>
      </c>
      <c r="C27" s="23" t="s">
        <v>268</v>
      </c>
      <c r="E27" s="25" t="s">
        <v>282</v>
      </c>
      <c r="F27" s="36" t="s">
        <v>283</v>
      </c>
    </row>
    <row r="28" spans="2:9" ht="45" x14ac:dyDescent="0.2">
      <c r="B28" s="25" t="s">
        <v>55</v>
      </c>
      <c r="C28" s="23" t="s">
        <v>269</v>
      </c>
      <c r="E28" s="25" t="s">
        <v>284</v>
      </c>
      <c r="F28" s="36" t="s">
        <v>285</v>
      </c>
    </row>
    <row r="29" spans="2:9" ht="45" x14ac:dyDescent="0.2">
      <c r="B29" s="25" t="s">
        <v>24</v>
      </c>
      <c r="C29" s="23" t="s">
        <v>270</v>
      </c>
      <c r="E29" s="25" t="s">
        <v>286</v>
      </c>
      <c r="F29" s="36" t="s">
        <v>287</v>
      </c>
    </row>
    <row r="30" spans="2:9" ht="45" x14ac:dyDescent="0.2">
      <c r="B30" s="25" t="s">
        <v>26</v>
      </c>
      <c r="C30" s="23" t="s">
        <v>271</v>
      </c>
      <c r="E30" s="25" t="s">
        <v>288</v>
      </c>
      <c r="F30" s="36" t="s">
        <v>289</v>
      </c>
    </row>
    <row r="31" spans="2:9" ht="30" x14ac:dyDescent="0.2">
      <c r="B31" s="25" t="s">
        <v>25</v>
      </c>
      <c r="C31" s="23" t="s">
        <v>272</v>
      </c>
    </row>
    <row r="32" spans="2:9" ht="45" x14ac:dyDescent="0.2">
      <c r="B32" s="25" t="s">
        <v>5</v>
      </c>
      <c r="C32" s="23" t="s">
        <v>273</v>
      </c>
    </row>
    <row r="33" spans="2:22" ht="45" x14ac:dyDescent="0.2">
      <c r="B33" s="25" t="s">
        <v>23</v>
      </c>
      <c r="C33" s="23" t="s">
        <v>274</v>
      </c>
    </row>
    <row r="34" spans="2:22" x14ac:dyDescent="0.2">
      <c r="B34" s="10"/>
      <c r="C34" s="10"/>
    </row>
    <row r="35" spans="2:22" x14ac:dyDescent="0.2">
      <c r="B35" s="10"/>
      <c r="C35" s="10"/>
    </row>
    <row r="37" spans="2:22" ht="17" x14ac:dyDescent="0.2">
      <c r="B37" s="16" t="s">
        <v>54</v>
      </c>
      <c r="G37" s="16" t="s">
        <v>53</v>
      </c>
    </row>
    <row r="39" spans="2:22" ht="12.75" customHeight="1" x14ac:dyDescent="0.2">
      <c r="B39" s="98" t="s">
        <v>52</v>
      </c>
      <c r="C39" s="98"/>
      <c r="D39" s="98"/>
      <c r="E39" s="98"/>
      <c r="G39" s="98" t="s">
        <v>51</v>
      </c>
      <c r="H39" s="98"/>
      <c r="I39" s="98"/>
      <c r="J39" s="98"/>
    </row>
    <row r="40" spans="2:22" ht="60" customHeight="1" x14ac:dyDescent="0.2">
      <c r="B40" s="6" t="s">
        <v>50</v>
      </c>
      <c r="C40" s="99" t="s">
        <v>293</v>
      </c>
      <c r="D40" s="99"/>
      <c r="E40" s="99"/>
      <c r="G40" s="6" t="s">
        <v>49</v>
      </c>
      <c r="H40" s="122" t="s">
        <v>290</v>
      </c>
      <c r="I40" s="123"/>
      <c r="J40" s="124"/>
    </row>
    <row r="41" spans="2:22" ht="65.5" customHeight="1" x14ac:dyDescent="0.2">
      <c r="B41" s="6" t="s">
        <v>48</v>
      </c>
      <c r="C41" s="99"/>
      <c r="D41" s="99"/>
      <c r="E41" s="99"/>
      <c r="G41" s="6" t="s">
        <v>47</v>
      </c>
      <c r="H41" s="122" t="s">
        <v>291</v>
      </c>
      <c r="I41" s="123"/>
      <c r="J41" s="124"/>
    </row>
    <row r="42" spans="2:22" ht="53.5" customHeight="1" x14ac:dyDescent="0.2">
      <c r="B42" s="6" t="s">
        <v>46</v>
      </c>
      <c r="C42" s="100"/>
      <c r="D42" s="100"/>
      <c r="E42" s="100"/>
      <c r="G42" s="6" t="s">
        <v>45</v>
      </c>
      <c r="H42" s="128" t="s">
        <v>1878</v>
      </c>
      <c r="I42" s="129"/>
      <c r="J42" s="130"/>
    </row>
    <row r="43" spans="2:22" ht="67" customHeight="1" x14ac:dyDescent="0.2">
      <c r="B43" s="6" t="s">
        <v>44</v>
      </c>
      <c r="C43" s="101"/>
      <c r="D43" s="101"/>
      <c r="E43" s="101"/>
      <c r="G43" s="6" t="s">
        <v>43</v>
      </c>
      <c r="H43" s="125" t="s">
        <v>292</v>
      </c>
      <c r="I43" s="126"/>
      <c r="J43" s="127"/>
    </row>
    <row r="44" spans="2:22" ht="67" customHeight="1" x14ac:dyDescent="0.2">
      <c r="C44" s="17"/>
      <c r="D44" s="17"/>
      <c r="E44" s="17"/>
      <c r="G44" s="6" t="s">
        <v>42</v>
      </c>
      <c r="H44" s="125" t="s">
        <v>1879</v>
      </c>
      <c r="I44" s="126"/>
      <c r="J44" s="127"/>
    </row>
    <row r="46" spans="2:22" ht="68" x14ac:dyDescent="0.2">
      <c r="B46" s="16" t="s">
        <v>41</v>
      </c>
      <c r="O46" s="16" t="s">
        <v>40</v>
      </c>
      <c r="P46" s="1"/>
      <c r="Q46" s="1"/>
      <c r="R46" s="1"/>
      <c r="S46" s="1"/>
      <c r="T46" s="1"/>
      <c r="U46" s="1"/>
      <c r="V46" s="1"/>
    </row>
    <row r="47" spans="2:22" x14ac:dyDescent="0.2">
      <c r="O47" s="1"/>
      <c r="P47" s="1"/>
      <c r="Q47" s="1"/>
      <c r="R47" s="1"/>
      <c r="S47" s="1"/>
      <c r="T47" s="1"/>
      <c r="U47" s="1"/>
      <c r="V47" s="1"/>
    </row>
    <row r="48" spans="2:22" ht="30" x14ac:dyDescent="0.2">
      <c r="B48" s="15" t="s">
        <v>39</v>
      </c>
      <c r="C48" s="15" t="s">
        <v>38</v>
      </c>
      <c r="D48" s="15">
        <v>2</v>
      </c>
      <c r="E48" s="15">
        <v>3</v>
      </c>
      <c r="F48" s="15">
        <v>4</v>
      </c>
      <c r="G48" s="15">
        <v>5</v>
      </c>
      <c r="H48" s="15">
        <v>6</v>
      </c>
      <c r="I48" s="15">
        <v>7</v>
      </c>
      <c r="J48" s="15">
        <v>8</v>
      </c>
      <c r="K48" s="15">
        <v>9</v>
      </c>
      <c r="L48" s="15">
        <v>10</v>
      </c>
      <c r="O48" s="15" t="s">
        <v>39</v>
      </c>
      <c r="P48" s="15" t="s">
        <v>38</v>
      </c>
      <c r="Q48" s="15">
        <v>2</v>
      </c>
      <c r="R48" s="15">
        <v>3</v>
      </c>
      <c r="S48" s="15">
        <v>4</v>
      </c>
      <c r="T48" s="15">
        <v>5</v>
      </c>
      <c r="U48" s="15">
        <v>6</v>
      </c>
      <c r="V48" s="15">
        <v>7</v>
      </c>
    </row>
    <row r="49" spans="2:22" ht="123" customHeight="1" x14ac:dyDescent="0.2">
      <c r="B49" s="5" t="s">
        <v>37</v>
      </c>
      <c r="C49" s="5" t="s">
        <v>294</v>
      </c>
      <c r="D49" s="5" t="s">
        <v>295</v>
      </c>
      <c r="E49" s="5" t="s">
        <v>296</v>
      </c>
      <c r="F49" s="5" t="s">
        <v>297</v>
      </c>
      <c r="G49" s="5" t="s">
        <v>298</v>
      </c>
      <c r="H49" s="5" t="s">
        <v>299</v>
      </c>
      <c r="I49" s="5" t="s">
        <v>300</v>
      </c>
      <c r="J49" s="14" t="s">
        <v>301</v>
      </c>
      <c r="K49" s="14" t="s">
        <v>302</v>
      </c>
      <c r="L49" s="14" t="s">
        <v>303</v>
      </c>
      <c r="O49" s="14"/>
      <c r="P49" s="85" t="s">
        <v>1645</v>
      </c>
      <c r="Q49" s="84" t="s">
        <v>1648</v>
      </c>
      <c r="R49" s="85" t="s">
        <v>1651</v>
      </c>
      <c r="S49" s="85" t="s">
        <v>1655</v>
      </c>
      <c r="T49" s="85" t="s">
        <v>1659</v>
      </c>
      <c r="U49" s="85" t="s">
        <v>1660</v>
      </c>
      <c r="V49" s="14"/>
    </row>
    <row r="50" spans="2:22" ht="135" x14ac:dyDescent="0.2">
      <c r="B50" s="13" t="s">
        <v>36</v>
      </c>
      <c r="C50" s="23" t="s">
        <v>304</v>
      </c>
      <c r="D50" s="23" t="s">
        <v>305</v>
      </c>
      <c r="E50" s="23" t="s">
        <v>306</v>
      </c>
      <c r="F50" s="23" t="s">
        <v>307</v>
      </c>
      <c r="G50" s="23" t="s">
        <v>308</v>
      </c>
      <c r="H50" s="23" t="s">
        <v>309</v>
      </c>
      <c r="I50" s="23" t="s">
        <v>310</v>
      </c>
      <c r="J50" s="23" t="s">
        <v>311</v>
      </c>
      <c r="K50" s="23" t="s">
        <v>312</v>
      </c>
      <c r="L50" s="23" t="s">
        <v>313</v>
      </c>
      <c r="O50" s="13" t="s">
        <v>36</v>
      </c>
      <c r="P50" s="6" t="s">
        <v>1646</v>
      </c>
      <c r="Q50" s="6" t="s">
        <v>1649</v>
      </c>
      <c r="R50" s="6" t="s">
        <v>1652</v>
      </c>
      <c r="S50" s="6" t="s">
        <v>1656</v>
      </c>
      <c r="T50" s="6" t="s">
        <v>1661</v>
      </c>
      <c r="U50" s="6" t="s">
        <v>1662</v>
      </c>
      <c r="V50" s="6"/>
    </row>
    <row r="51" spans="2:22" ht="30" x14ac:dyDescent="0.2">
      <c r="B51" s="13" t="s">
        <v>9</v>
      </c>
      <c r="C51" s="23" t="s">
        <v>314</v>
      </c>
      <c r="D51" s="26" t="s">
        <v>18</v>
      </c>
      <c r="E51" s="26" t="s">
        <v>18</v>
      </c>
      <c r="F51" s="26" t="s">
        <v>21</v>
      </c>
      <c r="G51" s="26" t="s">
        <v>315</v>
      </c>
      <c r="H51" s="26" t="s">
        <v>21</v>
      </c>
      <c r="I51" s="26" t="s">
        <v>315</v>
      </c>
      <c r="J51" s="26" t="s">
        <v>19</v>
      </c>
      <c r="K51" s="23" t="s">
        <v>316</v>
      </c>
      <c r="L51" s="26" t="s">
        <v>317</v>
      </c>
      <c r="O51" s="13" t="s">
        <v>9</v>
      </c>
      <c r="P51" s="6" t="s">
        <v>18</v>
      </c>
      <c r="Q51" s="6" t="s">
        <v>18</v>
      </c>
      <c r="R51" s="6" t="s">
        <v>21</v>
      </c>
      <c r="S51" s="6" t="s">
        <v>19</v>
      </c>
      <c r="T51" s="6" t="s">
        <v>315</v>
      </c>
      <c r="U51" s="7" t="s">
        <v>18</v>
      </c>
      <c r="V51" s="7"/>
    </row>
    <row r="52" spans="2:22" ht="30" x14ac:dyDescent="0.2">
      <c r="B52" s="13" t="s">
        <v>28</v>
      </c>
      <c r="C52" s="26" t="s">
        <v>20</v>
      </c>
      <c r="D52" s="26" t="s">
        <v>140</v>
      </c>
      <c r="E52" s="26" t="s">
        <v>140</v>
      </c>
      <c r="F52" s="26" t="s">
        <v>140</v>
      </c>
      <c r="G52" s="26" t="s">
        <v>142</v>
      </c>
      <c r="H52" s="26" t="s">
        <v>318</v>
      </c>
      <c r="I52" s="26" t="s">
        <v>140</v>
      </c>
      <c r="J52" s="26" t="s">
        <v>179</v>
      </c>
      <c r="K52" s="26" t="s">
        <v>333</v>
      </c>
      <c r="L52" s="26" t="s">
        <v>179</v>
      </c>
      <c r="O52" s="13" t="s">
        <v>28</v>
      </c>
      <c r="P52" s="6" t="s">
        <v>18</v>
      </c>
      <c r="Q52" s="6" t="s">
        <v>18</v>
      </c>
      <c r="R52" s="6" t="s">
        <v>179</v>
      </c>
      <c r="S52" s="7" t="s">
        <v>179</v>
      </c>
      <c r="T52" s="6" t="s">
        <v>1663</v>
      </c>
      <c r="U52" s="6" t="s">
        <v>18</v>
      </c>
      <c r="V52" s="6"/>
    </row>
    <row r="53" spans="2:22" ht="30" x14ac:dyDescent="0.2">
      <c r="B53" s="13" t="s">
        <v>35</v>
      </c>
      <c r="C53" s="26" t="s">
        <v>315</v>
      </c>
      <c r="D53" s="26" t="s">
        <v>16</v>
      </c>
      <c r="E53" s="26" t="s">
        <v>16</v>
      </c>
      <c r="F53" s="26" t="s">
        <v>18</v>
      </c>
      <c r="G53" s="26" t="s">
        <v>16</v>
      </c>
      <c r="H53" s="26" t="s">
        <v>16</v>
      </c>
      <c r="I53" s="26" t="s">
        <v>16</v>
      </c>
      <c r="J53" s="26" t="s">
        <v>18</v>
      </c>
      <c r="K53" s="26" t="s">
        <v>18</v>
      </c>
      <c r="L53" s="26" t="s">
        <v>334</v>
      </c>
      <c r="O53" s="13" t="s">
        <v>35</v>
      </c>
      <c r="P53" s="7" t="s">
        <v>16</v>
      </c>
      <c r="Q53" s="6" t="s">
        <v>140</v>
      </c>
      <c r="R53" s="6" t="s">
        <v>1653</v>
      </c>
      <c r="S53" s="6" t="s">
        <v>20</v>
      </c>
      <c r="T53" s="6" t="s">
        <v>16</v>
      </c>
      <c r="U53" s="6" t="s">
        <v>1653</v>
      </c>
      <c r="V53" s="6"/>
    </row>
    <row r="54" spans="2:22" ht="15" x14ac:dyDescent="0.2">
      <c r="B54" s="13" t="s">
        <v>26</v>
      </c>
      <c r="C54" s="26" t="s">
        <v>140</v>
      </c>
      <c r="D54" s="26" t="s">
        <v>140</v>
      </c>
      <c r="E54" s="26" t="s">
        <v>140</v>
      </c>
      <c r="F54" s="26" t="s">
        <v>140</v>
      </c>
      <c r="G54" s="26" t="s">
        <v>140</v>
      </c>
      <c r="H54" s="26" t="s">
        <v>140</v>
      </c>
      <c r="I54" s="26" t="s">
        <v>140</v>
      </c>
      <c r="J54" s="26" t="s">
        <v>140</v>
      </c>
      <c r="K54" s="26" t="s">
        <v>140</v>
      </c>
      <c r="L54" s="26" t="s">
        <v>319</v>
      </c>
      <c r="O54" s="13" t="s">
        <v>26</v>
      </c>
      <c r="P54" s="7" t="s">
        <v>140</v>
      </c>
      <c r="Q54" s="6" t="s">
        <v>140</v>
      </c>
      <c r="R54" s="6" t="s">
        <v>140</v>
      </c>
      <c r="S54" s="6" t="s">
        <v>140</v>
      </c>
      <c r="T54" s="7" t="s">
        <v>140</v>
      </c>
      <c r="U54" s="6" t="s">
        <v>140</v>
      </c>
      <c r="V54" s="6"/>
    </row>
    <row r="55" spans="2:22" ht="15" x14ac:dyDescent="0.2">
      <c r="B55" s="13" t="s">
        <v>25</v>
      </c>
      <c r="C55" s="26" t="s">
        <v>21</v>
      </c>
      <c r="D55" s="26" t="s">
        <v>21</v>
      </c>
      <c r="E55" s="26" t="s">
        <v>21</v>
      </c>
      <c r="F55" s="26" t="s">
        <v>21</v>
      </c>
      <c r="G55" s="26" t="s">
        <v>142</v>
      </c>
      <c r="H55" s="26" t="s">
        <v>21</v>
      </c>
      <c r="I55" s="26" t="s">
        <v>21</v>
      </c>
      <c r="J55" s="26" t="s">
        <v>21</v>
      </c>
      <c r="K55" s="26" t="s">
        <v>21</v>
      </c>
      <c r="L55" s="26" t="s">
        <v>320</v>
      </c>
      <c r="O55" s="13" t="s">
        <v>25</v>
      </c>
      <c r="P55" s="7" t="s">
        <v>21</v>
      </c>
      <c r="Q55" s="6" t="s">
        <v>21</v>
      </c>
      <c r="R55" s="6" t="s">
        <v>21</v>
      </c>
      <c r="S55" s="7" t="s">
        <v>21</v>
      </c>
      <c r="T55" s="6" t="s">
        <v>21</v>
      </c>
      <c r="U55" s="6" t="s">
        <v>21</v>
      </c>
      <c r="V55" s="6"/>
    </row>
    <row r="56" spans="2:22" ht="30" x14ac:dyDescent="0.2">
      <c r="B56" s="13" t="s">
        <v>34</v>
      </c>
      <c r="C56" s="26" t="s">
        <v>139</v>
      </c>
      <c r="D56" s="26" t="s">
        <v>139</v>
      </c>
      <c r="E56" s="26" t="s">
        <v>139</v>
      </c>
      <c r="F56" s="26" t="s">
        <v>1877</v>
      </c>
      <c r="G56" s="26" t="s">
        <v>20</v>
      </c>
      <c r="H56" s="26" t="s">
        <v>139</v>
      </c>
      <c r="I56" s="26" t="s">
        <v>139</v>
      </c>
      <c r="J56" s="26" t="s">
        <v>139</v>
      </c>
      <c r="K56" s="26" t="s">
        <v>139</v>
      </c>
      <c r="L56" s="26" t="s">
        <v>321</v>
      </c>
      <c r="O56" s="13" t="s">
        <v>34</v>
      </c>
      <c r="P56" s="7" t="s">
        <v>139</v>
      </c>
      <c r="Q56" s="6" t="s">
        <v>139</v>
      </c>
      <c r="R56" s="6" t="s">
        <v>139</v>
      </c>
      <c r="S56" s="7" t="s">
        <v>1657</v>
      </c>
      <c r="T56" s="7" t="s">
        <v>1657</v>
      </c>
      <c r="U56" s="6" t="s">
        <v>139</v>
      </c>
      <c r="V56" s="6"/>
    </row>
    <row r="57" spans="2:22" ht="15" x14ac:dyDescent="0.2">
      <c r="B57" s="13" t="s">
        <v>5</v>
      </c>
      <c r="C57" s="26" t="s">
        <v>18</v>
      </c>
      <c r="D57" s="26" t="s">
        <v>18</v>
      </c>
      <c r="E57" s="26" t="s">
        <v>18</v>
      </c>
      <c r="F57" s="26" t="s">
        <v>322</v>
      </c>
      <c r="G57" s="26" t="s">
        <v>18</v>
      </c>
      <c r="H57" s="26" t="s">
        <v>20</v>
      </c>
      <c r="I57" s="26" t="s">
        <v>20</v>
      </c>
      <c r="J57" s="26" t="s">
        <v>20</v>
      </c>
      <c r="K57" s="26" t="s">
        <v>18</v>
      </c>
      <c r="L57" s="26" t="s">
        <v>21</v>
      </c>
      <c r="O57" s="13" t="s">
        <v>5</v>
      </c>
      <c r="P57" s="7" t="s">
        <v>21</v>
      </c>
      <c r="Q57" s="6" t="s">
        <v>18</v>
      </c>
      <c r="R57" s="6" t="s">
        <v>21</v>
      </c>
      <c r="S57" s="6" t="s">
        <v>18</v>
      </c>
      <c r="T57" s="6" t="s">
        <v>695</v>
      </c>
      <c r="U57" s="6" t="s">
        <v>21</v>
      </c>
      <c r="V57" s="6"/>
    </row>
    <row r="58" spans="2:22" ht="30" x14ac:dyDescent="0.2">
      <c r="B58" s="13" t="s">
        <v>23</v>
      </c>
      <c r="C58" s="26" t="s">
        <v>315</v>
      </c>
      <c r="D58" s="26" t="s">
        <v>142</v>
      </c>
      <c r="E58" s="26" t="s">
        <v>142</v>
      </c>
      <c r="F58" s="26" t="s">
        <v>142</v>
      </c>
      <c r="G58" s="26" t="s">
        <v>315</v>
      </c>
      <c r="H58" s="26" t="s">
        <v>142</v>
      </c>
      <c r="I58" s="26" t="s">
        <v>142</v>
      </c>
      <c r="J58" s="26" t="s">
        <v>142</v>
      </c>
      <c r="K58" s="26" t="s">
        <v>142</v>
      </c>
      <c r="L58" s="26" t="s">
        <v>21</v>
      </c>
      <c r="O58" s="13" t="s">
        <v>23</v>
      </c>
      <c r="P58" s="7" t="s">
        <v>18</v>
      </c>
      <c r="Q58" s="6" t="s">
        <v>18</v>
      </c>
      <c r="R58" s="6" t="s">
        <v>18</v>
      </c>
      <c r="S58" s="7" t="s">
        <v>16</v>
      </c>
      <c r="T58" s="6" t="s">
        <v>18</v>
      </c>
      <c r="U58" s="7" t="s">
        <v>18</v>
      </c>
      <c r="V58" s="7"/>
    </row>
    <row r="59" spans="2:22" ht="154.5" customHeight="1" x14ac:dyDescent="0.2">
      <c r="B59" s="13" t="s">
        <v>33</v>
      </c>
      <c r="C59" s="23" t="s">
        <v>323</v>
      </c>
      <c r="D59" s="23" t="s">
        <v>324</v>
      </c>
      <c r="E59" s="23" t="s">
        <v>325</v>
      </c>
      <c r="F59" s="23" t="s">
        <v>326</v>
      </c>
      <c r="G59" s="23" t="s">
        <v>327</v>
      </c>
      <c r="H59" s="23" t="s">
        <v>328</v>
      </c>
      <c r="I59" s="23" t="s">
        <v>329</v>
      </c>
      <c r="J59" s="23" t="s">
        <v>330</v>
      </c>
      <c r="K59" s="23" t="s">
        <v>331</v>
      </c>
      <c r="L59" s="23" t="s">
        <v>332</v>
      </c>
      <c r="O59" s="13" t="s">
        <v>33</v>
      </c>
      <c r="P59" s="6" t="s">
        <v>1647</v>
      </c>
      <c r="Q59" s="6" t="s">
        <v>1650</v>
      </c>
      <c r="R59" s="6" t="s">
        <v>1654</v>
      </c>
      <c r="S59" s="7" t="s">
        <v>1658</v>
      </c>
      <c r="T59" s="7" t="s">
        <v>1664</v>
      </c>
      <c r="U59" s="6" t="s">
        <v>1665</v>
      </c>
      <c r="V59" s="6"/>
    </row>
    <row r="60" spans="2:22" ht="23.5" customHeight="1" x14ac:dyDescent="0.2">
      <c r="B60" s="12"/>
      <c r="G60" s="11"/>
      <c r="H60" s="11"/>
    </row>
    <row r="61" spans="2:22" ht="23.5" customHeight="1" x14ac:dyDescent="0.2">
      <c r="B61" s="12"/>
      <c r="G61" s="11"/>
      <c r="H61" s="11"/>
    </row>
    <row r="63" spans="2:22" ht="12.75" customHeight="1" x14ac:dyDescent="0.2">
      <c r="B63" s="96" t="s">
        <v>32</v>
      </c>
      <c r="C63" s="96"/>
      <c r="D63" s="96"/>
      <c r="E63" s="96"/>
      <c r="F63" s="96"/>
      <c r="G63" s="96"/>
      <c r="H63" s="96"/>
      <c r="I63" s="96"/>
      <c r="J63" s="96"/>
      <c r="L63" s="96" t="s">
        <v>31</v>
      </c>
      <c r="M63" s="96"/>
      <c r="N63" s="96"/>
      <c r="O63" s="96"/>
      <c r="P63" s="96"/>
      <c r="Q63" s="96"/>
      <c r="R63" s="96"/>
      <c r="S63" s="96"/>
      <c r="T63" s="96"/>
    </row>
    <row r="64" spans="2:22" ht="30" x14ac:dyDescent="0.2">
      <c r="B64" s="4" t="s">
        <v>10</v>
      </c>
      <c r="C64" s="4" t="s">
        <v>9</v>
      </c>
      <c r="D64" s="4" t="s">
        <v>28</v>
      </c>
      <c r="E64" s="4" t="s">
        <v>27</v>
      </c>
      <c r="F64" s="4" t="s">
        <v>26</v>
      </c>
      <c r="G64" s="4" t="s">
        <v>25</v>
      </c>
      <c r="H64" s="4" t="s">
        <v>24</v>
      </c>
      <c r="I64" s="4" t="s">
        <v>5</v>
      </c>
      <c r="J64" s="4" t="s">
        <v>23</v>
      </c>
      <c r="L64" s="4" t="s">
        <v>10</v>
      </c>
      <c r="M64" s="4" t="s">
        <v>9</v>
      </c>
      <c r="N64" s="4" t="s">
        <v>28</v>
      </c>
      <c r="O64" s="4" t="s">
        <v>27</v>
      </c>
      <c r="P64" s="4" t="s">
        <v>26</v>
      </c>
      <c r="Q64" s="4" t="s">
        <v>25</v>
      </c>
      <c r="R64" s="4" t="s">
        <v>24</v>
      </c>
      <c r="S64" s="4" t="s">
        <v>5</v>
      </c>
      <c r="T64" s="4" t="s">
        <v>23</v>
      </c>
    </row>
    <row r="65" spans="2:20" ht="30" x14ac:dyDescent="0.2">
      <c r="B65" s="25" t="s">
        <v>335</v>
      </c>
      <c r="C65" s="23" t="s">
        <v>314</v>
      </c>
      <c r="D65" s="26" t="s">
        <v>20</v>
      </c>
      <c r="E65" s="26" t="s">
        <v>315</v>
      </c>
      <c r="F65" s="26" t="s">
        <v>333</v>
      </c>
      <c r="G65" s="26" t="s">
        <v>21</v>
      </c>
      <c r="H65" s="26" t="s">
        <v>139</v>
      </c>
      <c r="I65" s="26" t="s">
        <v>18</v>
      </c>
      <c r="J65" s="3" t="s">
        <v>315</v>
      </c>
      <c r="L65" s="3" t="s">
        <v>1666</v>
      </c>
      <c r="M65" s="3" t="s">
        <v>18</v>
      </c>
      <c r="N65" s="3" t="s">
        <v>18</v>
      </c>
      <c r="O65" s="3" t="s">
        <v>16</v>
      </c>
      <c r="P65" s="3" t="s">
        <v>140</v>
      </c>
      <c r="Q65" s="28" t="s">
        <v>21</v>
      </c>
      <c r="R65" s="28" t="s">
        <v>139</v>
      </c>
      <c r="S65" s="28" t="s">
        <v>21</v>
      </c>
      <c r="T65" s="28" t="s">
        <v>18</v>
      </c>
    </row>
    <row r="66" spans="2:20" ht="45" x14ac:dyDescent="0.2">
      <c r="B66" s="25" t="s">
        <v>336</v>
      </c>
      <c r="C66" s="26" t="s">
        <v>18</v>
      </c>
      <c r="D66" s="26" t="s">
        <v>140</v>
      </c>
      <c r="E66" s="26" t="s">
        <v>16</v>
      </c>
      <c r="F66" s="26" t="s">
        <v>140</v>
      </c>
      <c r="G66" s="26" t="s">
        <v>21</v>
      </c>
      <c r="H66" s="26" t="s">
        <v>139</v>
      </c>
      <c r="I66" s="26" t="s">
        <v>18</v>
      </c>
      <c r="J66" s="3" t="s">
        <v>142</v>
      </c>
      <c r="L66" s="3" t="s">
        <v>1667</v>
      </c>
      <c r="M66" s="3" t="s">
        <v>18</v>
      </c>
      <c r="N66" s="3" t="s">
        <v>18</v>
      </c>
      <c r="O66" s="3" t="s">
        <v>140</v>
      </c>
      <c r="P66" s="3" t="s">
        <v>140</v>
      </c>
      <c r="Q66" s="28" t="s">
        <v>21</v>
      </c>
      <c r="R66" s="28" t="s">
        <v>139</v>
      </c>
      <c r="S66" s="28" t="s">
        <v>18</v>
      </c>
      <c r="T66" s="28" t="s">
        <v>18</v>
      </c>
    </row>
    <row r="67" spans="2:20" ht="45" x14ac:dyDescent="0.2">
      <c r="B67" s="25" t="s">
        <v>337</v>
      </c>
      <c r="C67" s="26" t="s">
        <v>18</v>
      </c>
      <c r="D67" s="26" t="s">
        <v>140</v>
      </c>
      <c r="E67" s="26" t="s">
        <v>16</v>
      </c>
      <c r="F67" s="26" t="s">
        <v>140</v>
      </c>
      <c r="G67" s="26" t="s">
        <v>21</v>
      </c>
      <c r="H67" s="26" t="s">
        <v>139</v>
      </c>
      <c r="I67" s="26" t="s">
        <v>18</v>
      </c>
      <c r="J67" s="3" t="s">
        <v>142</v>
      </c>
      <c r="L67" s="3" t="s">
        <v>1668</v>
      </c>
      <c r="M67" s="3" t="s">
        <v>21</v>
      </c>
      <c r="N67" s="3" t="s">
        <v>179</v>
      </c>
      <c r="O67" s="3" t="s">
        <v>1672</v>
      </c>
      <c r="P67" s="3" t="s">
        <v>140</v>
      </c>
      <c r="Q67" s="28" t="s">
        <v>21</v>
      </c>
      <c r="R67" s="28" t="s">
        <v>139</v>
      </c>
      <c r="S67" s="28" t="s">
        <v>21</v>
      </c>
      <c r="T67" s="28" t="s">
        <v>18</v>
      </c>
    </row>
    <row r="68" spans="2:20" ht="30" x14ac:dyDescent="0.2">
      <c r="B68" s="25" t="s">
        <v>338</v>
      </c>
      <c r="C68" s="26" t="s">
        <v>21</v>
      </c>
      <c r="D68" s="26" t="s">
        <v>140</v>
      </c>
      <c r="E68" s="26" t="s">
        <v>18</v>
      </c>
      <c r="F68" s="26" t="s">
        <v>140</v>
      </c>
      <c r="G68" s="26" t="s">
        <v>21</v>
      </c>
      <c r="H68" s="26" t="s">
        <v>139</v>
      </c>
      <c r="I68" s="26" t="s">
        <v>322</v>
      </c>
      <c r="J68" s="3" t="s">
        <v>142</v>
      </c>
      <c r="L68" s="3" t="s">
        <v>1669</v>
      </c>
      <c r="M68" s="3" t="s">
        <v>19</v>
      </c>
      <c r="N68" s="3" t="s">
        <v>179</v>
      </c>
      <c r="O68" s="3" t="s">
        <v>20</v>
      </c>
      <c r="P68" s="3" t="s">
        <v>140</v>
      </c>
      <c r="Q68" s="28" t="s">
        <v>21</v>
      </c>
      <c r="R68" s="28" t="s">
        <v>1673</v>
      </c>
      <c r="S68" s="28" t="s">
        <v>18</v>
      </c>
      <c r="T68" s="28" t="s">
        <v>16</v>
      </c>
    </row>
    <row r="69" spans="2:20" ht="30" x14ac:dyDescent="0.2">
      <c r="B69" s="25" t="s">
        <v>339</v>
      </c>
      <c r="C69" s="26" t="s">
        <v>315</v>
      </c>
      <c r="D69" s="26" t="s">
        <v>142</v>
      </c>
      <c r="E69" s="26" t="s">
        <v>16</v>
      </c>
      <c r="F69" s="26" t="s">
        <v>140</v>
      </c>
      <c r="G69" s="26" t="s">
        <v>142</v>
      </c>
      <c r="H69" s="26" t="s">
        <v>20</v>
      </c>
      <c r="I69" s="26" t="s">
        <v>18</v>
      </c>
      <c r="J69" s="3" t="s">
        <v>315</v>
      </c>
      <c r="L69" s="3" t="s">
        <v>1670</v>
      </c>
      <c r="M69" s="3" t="s">
        <v>315</v>
      </c>
      <c r="N69" s="3" t="s">
        <v>1663</v>
      </c>
      <c r="O69" s="3" t="s">
        <v>16</v>
      </c>
      <c r="P69" s="3" t="s">
        <v>140</v>
      </c>
      <c r="Q69" s="28" t="s">
        <v>21</v>
      </c>
      <c r="R69" s="28" t="s">
        <v>1673</v>
      </c>
      <c r="S69" s="28" t="s">
        <v>695</v>
      </c>
      <c r="T69" s="28" t="s">
        <v>18</v>
      </c>
    </row>
    <row r="70" spans="2:20" ht="45" x14ac:dyDescent="0.2">
      <c r="B70" s="25" t="s">
        <v>340</v>
      </c>
      <c r="C70" s="26" t="s">
        <v>21</v>
      </c>
      <c r="D70" s="26" t="s">
        <v>318</v>
      </c>
      <c r="E70" s="26" t="s">
        <v>16</v>
      </c>
      <c r="F70" s="26" t="s">
        <v>333</v>
      </c>
      <c r="G70" s="26" t="s">
        <v>21</v>
      </c>
      <c r="H70" s="26" t="s">
        <v>139</v>
      </c>
      <c r="I70" s="26" t="s">
        <v>20</v>
      </c>
      <c r="J70" s="3" t="s">
        <v>142</v>
      </c>
      <c r="L70" s="3" t="s">
        <v>1671</v>
      </c>
      <c r="M70" s="3" t="s">
        <v>18</v>
      </c>
      <c r="N70" s="3" t="s">
        <v>18</v>
      </c>
      <c r="O70" s="3" t="s">
        <v>1672</v>
      </c>
      <c r="P70" s="3" t="s">
        <v>140</v>
      </c>
      <c r="Q70" s="28" t="s">
        <v>21</v>
      </c>
      <c r="R70" s="28" t="s">
        <v>139</v>
      </c>
      <c r="S70" s="28" t="s">
        <v>21</v>
      </c>
      <c r="T70" s="28" t="s">
        <v>18</v>
      </c>
    </row>
    <row r="71" spans="2:20" ht="15" x14ac:dyDescent="0.2">
      <c r="B71" s="25" t="s">
        <v>341</v>
      </c>
      <c r="C71" s="23" t="s">
        <v>316</v>
      </c>
      <c r="D71" s="26" t="s">
        <v>333</v>
      </c>
      <c r="E71" s="26" t="s">
        <v>18</v>
      </c>
      <c r="F71" s="26" t="s">
        <v>140</v>
      </c>
      <c r="G71" s="26" t="s">
        <v>21</v>
      </c>
      <c r="H71" s="26" t="s">
        <v>139</v>
      </c>
      <c r="I71" s="26" t="s">
        <v>18</v>
      </c>
      <c r="J71" s="3" t="s">
        <v>142</v>
      </c>
      <c r="L71" s="3"/>
      <c r="M71" s="3"/>
      <c r="N71" s="3"/>
      <c r="O71" s="3"/>
      <c r="P71" s="3"/>
      <c r="Q71" s="3"/>
      <c r="R71" s="3"/>
      <c r="S71" s="3"/>
      <c r="T71" s="3"/>
    </row>
    <row r="72" spans="2:20" ht="15" x14ac:dyDescent="0.2">
      <c r="B72" s="25" t="s">
        <v>342</v>
      </c>
      <c r="C72" s="26" t="s">
        <v>317</v>
      </c>
      <c r="D72" s="26" t="s">
        <v>179</v>
      </c>
      <c r="E72" s="26" t="s">
        <v>334</v>
      </c>
      <c r="F72" s="26" t="s">
        <v>319</v>
      </c>
      <c r="G72" s="26" t="s">
        <v>320</v>
      </c>
      <c r="H72" s="26" t="s">
        <v>321</v>
      </c>
      <c r="I72" s="26" t="s">
        <v>21</v>
      </c>
      <c r="J72" s="3" t="s">
        <v>21</v>
      </c>
      <c r="L72" s="3"/>
      <c r="M72" s="3"/>
      <c r="N72" s="3"/>
      <c r="O72" s="3"/>
      <c r="P72" s="3"/>
      <c r="Q72" s="3"/>
      <c r="R72" s="3"/>
      <c r="S72" s="3"/>
      <c r="T72" s="3"/>
    </row>
    <row r="73" spans="2:20" x14ac:dyDescent="0.2">
      <c r="B73" s="3"/>
      <c r="C73" s="3"/>
      <c r="D73" s="3"/>
      <c r="E73" s="3"/>
      <c r="F73" s="3"/>
      <c r="G73" s="3"/>
      <c r="H73" s="3"/>
      <c r="I73" s="3"/>
      <c r="J73" s="3"/>
      <c r="L73" s="3"/>
      <c r="M73" s="3"/>
      <c r="N73" s="3"/>
      <c r="O73" s="3"/>
      <c r="P73" s="3"/>
      <c r="Q73" s="3"/>
      <c r="R73" s="3"/>
      <c r="S73" s="3"/>
      <c r="T73" s="3"/>
    </row>
    <row r="74" spans="2:20" x14ac:dyDescent="0.2">
      <c r="B74" s="3"/>
      <c r="C74" s="3"/>
      <c r="D74" s="3"/>
      <c r="E74" s="3"/>
      <c r="F74" s="3"/>
      <c r="G74" s="3"/>
      <c r="H74" s="3"/>
      <c r="I74" s="3"/>
      <c r="J74" s="3"/>
      <c r="L74" s="3"/>
      <c r="M74" s="3"/>
      <c r="N74" s="3"/>
      <c r="O74" s="3"/>
      <c r="P74" s="3"/>
      <c r="Q74" s="3"/>
      <c r="R74" s="3"/>
      <c r="S74" s="3"/>
      <c r="T74" s="3"/>
    </row>
    <row r="75" spans="2:20" x14ac:dyDescent="0.2">
      <c r="B75" s="10"/>
      <c r="C75" s="10"/>
      <c r="D75" s="10"/>
      <c r="E75" s="10"/>
      <c r="F75" s="10"/>
      <c r="G75" s="10"/>
      <c r="H75" s="10"/>
      <c r="I75" s="10"/>
      <c r="J75" s="10"/>
    </row>
    <row r="76" spans="2:20" x14ac:dyDescent="0.2">
      <c r="B76" s="10"/>
      <c r="C76" s="10"/>
      <c r="D76" s="10"/>
      <c r="E76" s="10"/>
      <c r="F76" s="10"/>
      <c r="G76" s="10"/>
      <c r="H76" s="10"/>
      <c r="I76" s="10"/>
      <c r="J76" s="10"/>
    </row>
    <row r="78" spans="2:20" ht="12.75" customHeight="1" x14ac:dyDescent="0.2">
      <c r="B78" s="96" t="s">
        <v>30</v>
      </c>
      <c r="C78" s="96"/>
      <c r="D78" s="96"/>
      <c r="E78" s="96"/>
      <c r="F78" s="96"/>
      <c r="G78" s="96"/>
      <c r="H78" s="96"/>
      <c r="I78" s="96"/>
      <c r="J78" s="96"/>
    </row>
    <row r="79" spans="2:20" ht="30" x14ac:dyDescent="0.2">
      <c r="B79" s="4" t="s">
        <v>29</v>
      </c>
      <c r="C79" s="34" t="s">
        <v>357</v>
      </c>
      <c r="D79" s="4" t="s">
        <v>9</v>
      </c>
      <c r="E79" s="4" t="s">
        <v>28</v>
      </c>
      <c r="F79" s="4" t="s">
        <v>27</v>
      </c>
      <c r="G79" s="4" t="s">
        <v>26</v>
      </c>
      <c r="H79" s="4" t="s">
        <v>25</v>
      </c>
      <c r="I79" s="4" t="s">
        <v>24</v>
      </c>
      <c r="J79" s="4" t="s">
        <v>5</v>
      </c>
      <c r="K79" s="4" t="s">
        <v>23</v>
      </c>
    </row>
    <row r="80" spans="2:20" ht="13.75" customHeight="1" x14ac:dyDescent="0.2">
      <c r="B80" s="25" t="s">
        <v>343</v>
      </c>
      <c r="C80" s="26" t="s">
        <v>344</v>
      </c>
      <c r="D80" s="26" t="s">
        <v>345</v>
      </c>
      <c r="E80" s="26" t="s">
        <v>346</v>
      </c>
      <c r="F80" s="26" t="s">
        <v>18</v>
      </c>
      <c r="G80" s="26" t="s">
        <v>18</v>
      </c>
      <c r="H80" s="26" t="s">
        <v>347</v>
      </c>
      <c r="I80" s="26" t="s">
        <v>21</v>
      </c>
      <c r="J80" s="26" t="s">
        <v>348</v>
      </c>
      <c r="K80" s="28" t="s">
        <v>16</v>
      </c>
    </row>
    <row r="81" spans="2:11" ht="15" x14ac:dyDescent="0.2">
      <c r="B81" s="25" t="s">
        <v>349</v>
      </c>
      <c r="C81" s="26" t="s">
        <v>344</v>
      </c>
      <c r="D81" s="26" t="s">
        <v>345</v>
      </c>
      <c r="E81" s="26" t="s">
        <v>350</v>
      </c>
      <c r="F81" s="26" t="s">
        <v>351</v>
      </c>
      <c r="G81" s="26" t="s">
        <v>21</v>
      </c>
      <c r="H81" s="26" t="s">
        <v>352</v>
      </c>
      <c r="I81" s="26" t="s">
        <v>21</v>
      </c>
      <c r="J81" s="26" t="s">
        <v>348</v>
      </c>
      <c r="K81" s="28" t="s">
        <v>16</v>
      </c>
    </row>
    <row r="82" spans="2:11" ht="30" x14ac:dyDescent="0.2">
      <c r="B82" s="25" t="s">
        <v>353</v>
      </c>
      <c r="C82" s="26" t="s">
        <v>354</v>
      </c>
      <c r="D82" s="23" t="s">
        <v>355</v>
      </c>
      <c r="E82" s="26" t="s">
        <v>356</v>
      </c>
      <c r="F82" s="26" t="s">
        <v>356</v>
      </c>
      <c r="G82" s="26" t="s">
        <v>356</v>
      </c>
      <c r="H82" s="26" t="s">
        <v>350</v>
      </c>
      <c r="I82" s="26" t="s">
        <v>21</v>
      </c>
      <c r="J82" s="26" t="s">
        <v>1876</v>
      </c>
      <c r="K82" s="28" t="s">
        <v>358</v>
      </c>
    </row>
    <row r="83" spans="2:11" x14ac:dyDescent="0.2">
      <c r="B83" s="6"/>
      <c r="C83" s="7"/>
      <c r="D83" s="6"/>
      <c r="E83" s="6"/>
      <c r="F83" s="6"/>
      <c r="G83" s="6"/>
      <c r="H83" s="6"/>
      <c r="I83" s="6"/>
      <c r="J83" s="6"/>
      <c r="K83" s="28"/>
    </row>
    <row r="84" spans="2:11" x14ac:dyDescent="0.2">
      <c r="B84" s="6"/>
      <c r="C84" s="9"/>
      <c r="D84" s="6"/>
      <c r="E84" s="6"/>
      <c r="F84" s="6"/>
      <c r="G84" s="6"/>
      <c r="H84" s="6"/>
      <c r="I84" s="6"/>
      <c r="J84" s="6"/>
      <c r="K84" s="28"/>
    </row>
    <row r="85" spans="2:11" x14ac:dyDescent="0.2">
      <c r="B85" s="6"/>
      <c r="C85" s="8"/>
      <c r="D85" s="6"/>
      <c r="E85" s="6"/>
      <c r="F85" s="6"/>
      <c r="G85" s="6"/>
      <c r="H85" s="6"/>
      <c r="I85" s="6"/>
      <c r="J85" s="6"/>
      <c r="K85" s="28"/>
    </row>
    <row r="86" spans="2:11" x14ac:dyDescent="0.2">
      <c r="B86" s="7"/>
      <c r="C86" s="7"/>
      <c r="D86" s="8"/>
      <c r="E86" s="7"/>
      <c r="F86" s="6"/>
      <c r="G86" s="6"/>
      <c r="H86" s="6"/>
      <c r="I86" s="6"/>
      <c r="J86" s="6"/>
      <c r="K86" s="28"/>
    </row>
    <row r="87" spans="2:11" x14ac:dyDescent="0.2">
      <c r="B87" s="7"/>
      <c r="C87" s="8"/>
      <c r="D87" s="6"/>
      <c r="E87" s="6"/>
      <c r="F87" s="6"/>
      <c r="G87" s="6"/>
      <c r="H87" s="6"/>
      <c r="I87" s="6"/>
      <c r="J87" s="6"/>
      <c r="K87" s="28"/>
    </row>
    <row r="88" spans="2:11" x14ac:dyDescent="0.2">
      <c r="B88" s="7"/>
      <c r="C88" s="7"/>
      <c r="D88" s="6"/>
      <c r="E88" s="6"/>
      <c r="F88" s="6"/>
      <c r="G88" s="6"/>
      <c r="H88" s="6"/>
      <c r="I88" s="6"/>
      <c r="J88" s="6"/>
      <c r="K88" s="28"/>
    </row>
    <row r="90" spans="2:11" ht="12.75" customHeight="1" x14ac:dyDescent="0.2">
      <c r="B90" s="97" t="s">
        <v>15</v>
      </c>
      <c r="C90" s="97"/>
      <c r="D90" s="97"/>
      <c r="E90" s="97"/>
      <c r="F90" s="97"/>
      <c r="G90" s="97"/>
      <c r="H90" s="97"/>
    </row>
    <row r="91" spans="2:11" ht="13.75" customHeight="1" x14ac:dyDescent="0.2">
      <c r="B91" s="5" t="s">
        <v>10</v>
      </c>
      <c r="C91" s="5" t="s">
        <v>9</v>
      </c>
      <c r="D91" s="5" t="s">
        <v>14</v>
      </c>
      <c r="E91" s="5" t="s">
        <v>7</v>
      </c>
      <c r="F91" s="5" t="s">
        <v>13</v>
      </c>
      <c r="G91" s="5" t="s">
        <v>5</v>
      </c>
      <c r="H91" s="5" t="s">
        <v>12</v>
      </c>
      <c r="J91" s="91" t="s">
        <v>11</v>
      </c>
      <c r="K91" s="92"/>
    </row>
    <row r="92" spans="2:11" ht="13.75" customHeight="1" x14ac:dyDescent="0.2">
      <c r="B92" s="4" t="s">
        <v>10</v>
      </c>
      <c r="C92" s="4" t="s">
        <v>9</v>
      </c>
      <c r="D92" s="4" t="s">
        <v>8</v>
      </c>
      <c r="E92" s="4" t="s">
        <v>7</v>
      </c>
      <c r="F92" s="4" t="s">
        <v>6</v>
      </c>
      <c r="G92" s="4" t="s">
        <v>5</v>
      </c>
      <c r="H92" s="4" t="s">
        <v>4</v>
      </c>
      <c r="J92" s="91" t="s">
        <v>3</v>
      </c>
      <c r="K92" s="92"/>
    </row>
    <row r="93" spans="2:11" ht="13.75" customHeight="1" x14ac:dyDescent="0.2">
      <c r="B93" s="25" t="s">
        <v>298</v>
      </c>
      <c r="C93" s="26">
        <v>4</v>
      </c>
      <c r="D93" s="26">
        <v>4</v>
      </c>
      <c r="E93" s="26">
        <v>4</v>
      </c>
      <c r="F93" s="26">
        <v>4</v>
      </c>
      <c r="G93" s="26">
        <v>3</v>
      </c>
      <c r="H93" s="2"/>
      <c r="J93" s="91" t="s">
        <v>2</v>
      </c>
      <c r="K93" s="92"/>
    </row>
    <row r="94" spans="2:11" ht="15" x14ac:dyDescent="0.2">
      <c r="B94" s="25" t="s">
        <v>359</v>
      </c>
      <c r="C94" s="26">
        <v>3</v>
      </c>
      <c r="D94" s="26">
        <v>5</v>
      </c>
      <c r="E94" s="26">
        <v>4</v>
      </c>
      <c r="F94" s="26">
        <v>2</v>
      </c>
      <c r="G94" s="26">
        <v>3</v>
      </c>
      <c r="H94" s="2"/>
      <c r="J94" s="91" t="s">
        <v>1</v>
      </c>
      <c r="K94" s="92"/>
    </row>
    <row r="95" spans="2:11" ht="15" x14ac:dyDescent="0.2">
      <c r="B95" s="25" t="s">
        <v>295</v>
      </c>
      <c r="C95" s="26">
        <v>3</v>
      </c>
      <c r="D95" s="26">
        <v>4</v>
      </c>
      <c r="E95" s="26">
        <v>4</v>
      </c>
      <c r="F95" s="26">
        <v>3</v>
      </c>
      <c r="G95" s="26">
        <v>3</v>
      </c>
      <c r="H95" s="2"/>
      <c r="J95" s="92" t="s">
        <v>0</v>
      </c>
      <c r="K95" s="92"/>
    </row>
    <row r="96" spans="2:11" ht="15" x14ac:dyDescent="0.2">
      <c r="B96" s="25" t="s">
        <v>360</v>
      </c>
      <c r="C96" s="26">
        <v>3</v>
      </c>
      <c r="D96" s="26">
        <v>4</v>
      </c>
      <c r="E96" s="26">
        <v>4</v>
      </c>
      <c r="F96" s="26">
        <v>3</v>
      </c>
      <c r="G96" s="26">
        <v>3</v>
      </c>
      <c r="H96" s="2"/>
    </row>
    <row r="97" spans="1:14" ht="15" x14ac:dyDescent="0.2">
      <c r="B97" s="25" t="s">
        <v>300</v>
      </c>
      <c r="C97" s="26">
        <v>4</v>
      </c>
      <c r="D97" s="26">
        <v>4</v>
      </c>
      <c r="E97" s="26">
        <v>4</v>
      </c>
      <c r="F97" s="26">
        <v>3</v>
      </c>
      <c r="G97" s="26">
        <v>3</v>
      </c>
      <c r="H97" s="2"/>
    </row>
    <row r="98" spans="1:14" ht="30" x14ac:dyDescent="0.2">
      <c r="B98" s="25" t="s">
        <v>302</v>
      </c>
      <c r="C98" s="26">
        <v>3</v>
      </c>
      <c r="D98" s="26">
        <v>5</v>
      </c>
      <c r="E98" s="26">
        <v>3</v>
      </c>
      <c r="F98" s="26">
        <v>3</v>
      </c>
      <c r="G98" s="26">
        <v>3</v>
      </c>
      <c r="H98" s="2"/>
    </row>
    <row r="99" spans="1:14" ht="15" x14ac:dyDescent="0.2">
      <c r="B99" s="25" t="s">
        <v>297</v>
      </c>
      <c r="C99" s="26">
        <v>2</v>
      </c>
      <c r="D99" s="26">
        <v>4</v>
      </c>
      <c r="E99" s="26">
        <v>3</v>
      </c>
      <c r="F99" s="26">
        <v>2</v>
      </c>
      <c r="G99" s="26">
        <v>3</v>
      </c>
      <c r="H99" s="2"/>
    </row>
    <row r="100" spans="1:14" ht="15" x14ac:dyDescent="0.2">
      <c r="B100" s="25" t="s">
        <v>299</v>
      </c>
      <c r="C100" s="26">
        <v>2</v>
      </c>
      <c r="D100" s="26">
        <v>4</v>
      </c>
      <c r="E100" s="26">
        <v>3</v>
      </c>
      <c r="F100" s="26">
        <v>2</v>
      </c>
      <c r="G100" s="26">
        <v>3</v>
      </c>
      <c r="H100" s="2"/>
    </row>
    <row r="101" spans="1:14" ht="20.75" customHeight="1" x14ac:dyDescent="0.2">
      <c r="B101" s="25" t="s">
        <v>361</v>
      </c>
      <c r="C101" s="26">
        <v>2</v>
      </c>
      <c r="D101" s="26">
        <v>2</v>
      </c>
      <c r="E101" s="26">
        <v>2</v>
      </c>
      <c r="F101" s="26">
        <v>1</v>
      </c>
      <c r="G101" s="26">
        <v>5</v>
      </c>
      <c r="H101" s="2"/>
    </row>
    <row r="102" spans="1:14" ht="20.75" customHeight="1" x14ac:dyDescent="0.2">
      <c r="B102" s="3"/>
      <c r="C102" s="3"/>
      <c r="D102" s="3"/>
      <c r="E102" s="3"/>
      <c r="F102" s="3"/>
      <c r="G102" s="3"/>
      <c r="H102" s="2"/>
    </row>
    <row r="103" spans="1:14" ht="20.75" customHeight="1" x14ac:dyDescent="0.2"/>
    <row r="104" spans="1:14" ht="29.5" customHeight="1" x14ac:dyDescent="0.2"/>
    <row r="112" spans="1:14" x14ac:dyDescent="0.2">
      <c r="A112" s="90" t="s">
        <v>1616</v>
      </c>
      <c r="B112" s="88"/>
      <c r="C112" s="88"/>
      <c r="D112" s="88"/>
      <c r="E112" s="88"/>
      <c r="F112" s="88"/>
      <c r="G112" s="88"/>
      <c r="H112" s="88"/>
      <c r="I112" s="88"/>
      <c r="J112" s="88"/>
      <c r="K112" s="88"/>
      <c r="L112" s="88"/>
      <c r="M112" s="88"/>
      <c r="N112" s="89"/>
    </row>
    <row r="113" spans="1:14" x14ac:dyDescent="0.2">
      <c r="A113" s="87" t="s">
        <v>1569</v>
      </c>
      <c r="B113" s="88"/>
      <c r="C113" s="88"/>
      <c r="D113" s="88"/>
      <c r="E113" s="88"/>
      <c r="F113" s="88"/>
      <c r="G113" s="88"/>
      <c r="H113" s="88"/>
      <c r="I113" s="88"/>
      <c r="J113" s="88"/>
      <c r="K113" s="88"/>
      <c r="L113" s="88"/>
      <c r="M113" s="88"/>
      <c r="N113" s="89"/>
    </row>
    <row r="114" spans="1:14" x14ac:dyDescent="0.2">
      <c r="A114" s="87" t="s">
        <v>1570</v>
      </c>
      <c r="B114" s="88"/>
      <c r="C114" s="88"/>
      <c r="D114" s="88"/>
      <c r="E114" s="88"/>
      <c r="F114" s="88"/>
      <c r="G114" s="88"/>
      <c r="H114" s="88"/>
      <c r="I114" s="88"/>
      <c r="J114" s="88"/>
      <c r="K114" s="88"/>
      <c r="L114" s="88"/>
      <c r="M114" s="88"/>
      <c r="N114" s="89"/>
    </row>
    <row r="115" spans="1:14" x14ac:dyDescent="0.2">
      <c r="A115" s="87" t="s">
        <v>1571</v>
      </c>
      <c r="B115" s="88"/>
      <c r="C115" s="88"/>
      <c r="D115" s="88"/>
      <c r="E115" s="88"/>
      <c r="F115" s="88"/>
      <c r="G115" s="88"/>
      <c r="H115" s="88"/>
      <c r="I115" s="88"/>
      <c r="J115" s="88"/>
      <c r="K115" s="88"/>
      <c r="L115" s="88"/>
      <c r="M115" s="88"/>
      <c r="N115" s="89"/>
    </row>
  </sheetData>
  <mergeCells count="41">
    <mergeCell ref="G10:I10"/>
    <mergeCell ref="C11:E11"/>
    <mergeCell ref="C12:E12"/>
    <mergeCell ref="B1:E1"/>
    <mergeCell ref="C2:E2"/>
    <mergeCell ref="C3:E3"/>
    <mergeCell ref="C4:E4"/>
    <mergeCell ref="C5:E5"/>
    <mergeCell ref="C13:E13"/>
    <mergeCell ref="C6:E6"/>
    <mergeCell ref="C7:E7"/>
    <mergeCell ref="B10:E10"/>
    <mergeCell ref="C16:E16"/>
    <mergeCell ref="C14:E14"/>
    <mergeCell ref="B39:E39"/>
    <mergeCell ref="G39:J39"/>
    <mergeCell ref="C40:E40"/>
    <mergeCell ref="H40:J40"/>
    <mergeCell ref="B20:C20"/>
    <mergeCell ref="C15:E15"/>
    <mergeCell ref="C17:E17"/>
    <mergeCell ref="J91:K91"/>
    <mergeCell ref="B63:J63"/>
    <mergeCell ref="A114:N114"/>
    <mergeCell ref="C41:E41"/>
    <mergeCell ref="H41:J41"/>
    <mergeCell ref="L63:T63"/>
    <mergeCell ref="B78:J78"/>
    <mergeCell ref="B90:H90"/>
    <mergeCell ref="H44:J44"/>
    <mergeCell ref="C42:E42"/>
    <mergeCell ref="H42:J42"/>
    <mergeCell ref="C43:E43"/>
    <mergeCell ref="H43:J43"/>
    <mergeCell ref="A115:N115"/>
    <mergeCell ref="J92:K92"/>
    <mergeCell ref="J93:K93"/>
    <mergeCell ref="J94:K94"/>
    <mergeCell ref="J95:K95"/>
    <mergeCell ref="A112:N112"/>
    <mergeCell ref="A113:N113"/>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227A-EA81-40FE-B9B2-98B62641941A}">
  <dimension ref="A1:V110"/>
  <sheetViews>
    <sheetView topLeftCell="A49" zoomScale="75" zoomScaleNormal="130" workbookViewId="0">
      <selection activeCell="C3" sqref="C3:E3"/>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84</v>
      </c>
      <c r="D2" s="101"/>
      <c r="E2" s="101"/>
    </row>
    <row r="3" spans="2:9" ht="12.75" customHeight="1" x14ac:dyDescent="0.2">
      <c r="B3" s="13" t="s">
        <v>69</v>
      </c>
      <c r="C3" s="101" t="s">
        <v>362</v>
      </c>
      <c r="D3" s="101"/>
      <c r="E3" s="101"/>
    </row>
    <row r="4" spans="2:9" ht="12.75" customHeight="1" x14ac:dyDescent="0.2">
      <c r="B4" s="13" t="s">
        <v>68</v>
      </c>
      <c r="C4" s="101" t="s">
        <v>96</v>
      </c>
      <c r="D4" s="101"/>
      <c r="E4" s="101"/>
    </row>
    <row r="5" spans="2:9" ht="12.75" customHeight="1" x14ac:dyDescent="0.2">
      <c r="B5" s="13" t="s">
        <v>67</v>
      </c>
      <c r="C5" s="101" t="s">
        <v>364</v>
      </c>
      <c r="D5" s="101"/>
      <c r="E5" s="101"/>
    </row>
    <row r="6" spans="2:9" ht="12.75" customHeight="1" x14ac:dyDescent="0.2">
      <c r="B6" s="13" t="s">
        <v>66</v>
      </c>
      <c r="C6" s="101" t="s">
        <v>363</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40" t="s">
        <v>365</v>
      </c>
      <c r="C11" s="99" t="s">
        <v>375</v>
      </c>
      <c r="D11" s="99"/>
      <c r="E11" s="99"/>
      <c r="G11" s="4" t="s">
        <v>62</v>
      </c>
      <c r="H11" s="4" t="s">
        <v>61</v>
      </c>
      <c r="I11" s="4" t="s">
        <v>60</v>
      </c>
    </row>
    <row r="12" spans="2:9" ht="45" customHeight="1" x14ac:dyDescent="0.2">
      <c r="B12" s="40" t="s">
        <v>366</v>
      </c>
      <c r="C12" s="99" t="s">
        <v>376</v>
      </c>
      <c r="D12" s="99"/>
      <c r="E12" s="99"/>
      <c r="G12" s="19">
        <v>1</v>
      </c>
      <c r="H12" s="23" t="s">
        <v>381</v>
      </c>
      <c r="I12" s="36" t="s">
        <v>390</v>
      </c>
    </row>
    <row r="13" spans="2:9" ht="62.25" customHeight="1" x14ac:dyDescent="0.2">
      <c r="B13" s="40" t="s">
        <v>367</v>
      </c>
      <c r="C13" s="99" t="s">
        <v>373</v>
      </c>
      <c r="D13" s="99"/>
      <c r="E13" s="99"/>
      <c r="G13" s="19">
        <v>2</v>
      </c>
      <c r="H13" s="23" t="s">
        <v>382</v>
      </c>
      <c r="I13" s="36" t="s">
        <v>391</v>
      </c>
    </row>
    <row r="14" spans="2:9" ht="54.75" customHeight="1" x14ac:dyDescent="0.2">
      <c r="B14" s="40" t="s">
        <v>368</v>
      </c>
      <c r="C14" s="99" t="s">
        <v>374</v>
      </c>
      <c r="D14" s="99"/>
      <c r="E14" s="99"/>
      <c r="G14" s="19">
        <v>3</v>
      </c>
      <c r="H14" s="23" t="s">
        <v>383</v>
      </c>
      <c r="I14" s="36" t="s">
        <v>392</v>
      </c>
    </row>
    <row r="15" spans="2:9" ht="54.75" customHeight="1" x14ac:dyDescent="0.2">
      <c r="B15" s="40" t="s">
        <v>369</v>
      </c>
      <c r="C15" s="99" t="s">
        <v>377</v>
      </c>
      <c r="D15" s="99"/>
      <c r="E15" s="99"/>
      <c r="G15" s="19">
        <v>4</v>
      </c>
      <c r="H15" s="23" t="s">
        <v>384</v>
      </c>
      <c r="I15" s="36" t="s">
        <v>256</v>
      </c>
    </row>
    <row r="16" spans="2:9" ht="54.75" customHeight="1" x14ac:dyDescent="0.2">
      <c r="B16" s="40" t="s">
        <v>370</v>
      </c>
      <c r="C16" s="99" t="s">
        <v>378</v>
      </c>
      <c r="D16" s="99"/>
      <c r="E16" s="99"/>
      <c r="G16" s="19">
        <v>5</v>
      </c>
      <c r="H16" s="23" t="s">
        <v>385</v>
      </c>
      <c r="I16" s="36" t="s">
        <v>256</v>
      </c>
    </row>
    <row r="17" spans="2:9" ht="54.75" customHeight="1" x14ac:dyDescent="0.2">
      <c r="B17" s="40" t="s">
        <v>371</v>
      </c>
      <c r="C17" s="99" t="s">
        <v>379</v>
      </c>
      <c r="D17" s="99"/>
      <c r="E17" s="99"/>
      <c r="G17" s="19">
        <v>6</v>
      </c>
      <c r="H17" s="23" t="s">
        <v>386</v>
      </c>
      <c r="I17" s="36" t="s">
        <v>393</v>
      </c>
    </row>
    <row r="18" spans="2:9" ht="54.75" customHeight="1" x14ac:dyDescent="0.2">
      <c r="B18" s="40" t="s">
        <v>372</v>
      </c>
      <c r="C18" s="99" t="s">
        <v>380</v>
      </c>
      <c r="D18" s="99"/>
      <c r="E18" s="99"/>
      <c r="G18" s="19">
        <v>7</v>
      </c>
      <c r="H18" s="23" t="s">
        <v>387</v>
      </c>
      <c r="I18" s="36" t="s">
        <v>394</v>
      </c>
    </row>
    <row r="19" spans="2:9" ht="30" x14ac:dyDescent="0.2">
      <c r="G19" s="19">
        <v>8</v>
      </c>
      <c r="H19" s="23" t="s">
        <v>388</v>
      </c>
      <c r="I19" s="36" t="s">
        <v>395</v>
      </c>
    </row>
    <row r="20" spans="2:9" ht="12.75" customHeight="1" x14ac:dyDescent="0.2">
      <c r="B20" s="96" t="s">
        <v>58</v>
      </c>
      <c r="C20" s="96"/>
      <c r="G20" s="19">
        <v>9</v>
      </c>
      <c r="H20" s="23" t="s">
        <v>389</v>
      </c>
      <c r="I20" s="36" t="s">
        <v>396</v>
      </c>
    </row>
    <row r="21" spans="2:9" ht="15" x14ac:dyDescent="0.2">
      <c r="B21" s="4" t="s">
        <v>57</v>
      </c>
      <c r="C21" s="4" t="s">
        <v>56</v>
      </c>
      <c r="G21" s="19"/>
      <c r="H21" s="19"/>
      <c r="I21" s="19"/>
    </row>
    <row r="22" spans="2:9" ht="30" x14ac:dyDescent="0.2">
      <c r="B22" s="25" t="s">
        <v>397</v>
      </c>
      <c r="C22" s="23" t="s">
        <v>401</v>
      </c>
      <c r="G22" s="19"/>
      <c r="H22" s="19"/>
      <c r="I22" s="19"/>
    </row>
    <row r="23" spans="2:9" ht="45" x14ac:dyDescent="0.2">
      <c r="B23" s="25" t="s">
        <v>9</v>
      </c>
      <c r="C23" s="23" t="s">
        <v>402</v>
      </c>
      <c r="G23" s="19"/>
      <c r="H23" s="19"/>
      <c r="I23" s="19"/>
    </row>
    <row r="24" spans="2:9" ht="60" x14ac:dyDescent="0.2">
      <c r="B24" s="25" t="s">
        <v>28</v>
      </c>
      <c r="C24" s="23" t="s">
        <v>403</v>
      </c>
      <c r="G24" s="18"/>
      <c r="H24" s="6"/>
      <c r="I24" s="6"/>
    </row>
    <row r="25" spans="2:9" ht="165" x14ac:dyDescent="0.2">
      <c r="B25" s="25" t="s">
        <v>398</v>
      </c>
      <c r="C25" s="86" t="s">
        <v>1881</v>
      </c>
      <c r="G25" s="18"/>
      <c r="H25" s="6"/>
      <c r="I25" s="6"/>
    </row>
    <row r="26" spans="2:9" ht="165" x14ac:dyDescent="0.2">
      <c r="B26" s="25" t="s">
        <v>399</v>
      </c>
      <c r="C26" s="86" t="s">
        <v>1880</v>
      </c>
      <c r="G26" s="18"/>
      <c r="H26" s="6"/>
      <c r="I26" s="6"/>
    </row>
    <row r="27" spans="2:9" ht="45" x14ac:dyDescent="0.2">
      <c r="B27" s="25" t="s">
        <v>400</v>
      </c>
      <c r="C27" s="23" t="s">
        <v>404</v>
      </c>
      <c r="G27" s="6"/>
      <c r="H27" s="6"/>
      <c r="I27" s="6"/>
    </row>
    <row r="28" spans="2:9" ht="45" x14ac:dyDescent="0.2">
      <c r="B28" s="25" t="s">
        <v>27</v>
      </c>
      <c r="C28" s="23" t="s">
        <v>405</v>
      </c>
      <c r="G28" s="6"/>
      <c r="H28" s="6"/>
      <c r="I28" s="6"/>
    </row>
    <row r="29" spans="2:9" ht="30" x14ac:dyDescent="0.2">
      <c r="B29" s="25" t="s">
        <v>55</v>
      </c>
      <c r="C29" s="23" t="s">
        <v>406</v>
      </c>
      <c r="G29" s="6"/>
      <c r="H29" s="6"/>
      <c r="I29" s="6"/>
    </row>
    <row r="30" spans="2:9" ht="30" x14ac:dyDescent="0.2">
      <c r="B30" s="25" t="s">
        <v>24</v>
      </c>
      <c r="C30" s="23" t="s">
        <v>407</v>
      </c>
      <c r="G30" s="6"/>
      <c r="H30" s="6"/>
      <c r="I30" s="6"/>
    </row>
    <row r="31" spans="2:9" ht="60" x14ac:dyDescent="0.2">
      <c r="B31" s="25" t="s">
        <v>26</v>
      </c>
      <c r="C31" s="23" t="s">
        <v>408</v>
      </c>
    </row>
    <row r="32" spans="2:9" ht="15" x14ac:dyDescent="0.2">
      <c r="B32" s="25" t="s">
        <v>25</v>
      </c>
      <c r="C32" s="23" t="s">
        <v>409</v>
      </c>
    </row>
    <row r="33" spans="2:22" ht="30" x14ac:dyDescent="0.2">
      <c r="B33" s="25" t="s">
        <v>5</v>
      </c>
      <c r="C33" s="23" t="s">
        <v>410</v>
      </c>
    </row>
    <row r="34" spans="2:22" ht="30" x14ac:dyDescent="0.2">
      <c r="B34" s="25" t="s">
        <v>23</v>
      </c>
      <c r="C34" s="23" t="s">
        <v>411</v>
      </c>
    </row>
    <row r="36" spans="2:22" ht="17" x14ac:dyDescent="0.2">
      <c r="B36" s="16" t="s">
        <v>54</v>
      </c>
      <c r="G36" s="16" t="s">
        <v>53</v>
      </c>
    </row>
    <row r="38" spans="2:22" ht="12.75" customHeight="1" x14ac:dyDescent="0.2">
      <c r="B38" s="98" t="s">
        <v>52</v>
      </c>
      <c r="C38" s="98"/>
      <c r="D38" s="98"/>
      <c r="E38" s="98"/>
      <c r="G38" s="98" t="s">
        <v>51</v>
      </c>
      <c r="H38" s="98"/>
      <c r="I38" s="98"/>
      <c r="J38" s="98"/>
    </row>
    <row r="39" spans="2:22" ht="60" customHeight="1" x14ac:dyDescent="0.2">
      <c r="B39" s="6" t="s">
        <v>50</v>
      </c>
      <c r="C39" s="131" t="s">
        <v>1882</v>
      </c>
      <c r="D39" s="132"/>
      <c r="E39" s="133"/>
      <c r="G39" s="6" t="s">
        <v>49</v>
      </c>
      <c r="H39" s="99" t="s">
        <v>417</v>
      </c>
      <c r="I39" s="99"/>
      <c r="J39" s="99"/>
    </row>
    <row r="40" spans="2:22" ht="65.5" customHeight="1" x14ac:dyDescent="0.2">
      <c r="B40" s="6" t="s">
        <v>48</v>
      </c>
      <c r="C40" s="122" t="s">
        <v>412</v>
      </c>
      <c r="D40" s="123"/>
      <c r="E40" s="124"/>
      <c r="G40" s="6" t="s">
        <v>47</v>
      </c>
      <c r="H40" s="99" t="s">
        <v>418</v>
      </c>
      <c r="I40" s="99"/>
      <c r="J40" s="99"/>
    </row>
    <row r="41" spans="2:22" ht="53.5" customHeight="1" x14ac:dyDescent="0.2">
      <c r="B41" s="6" t="s">
        <v>46</v>
      </c>
      <c r="C41" s="128" t="s">
        <v>413</v>
      </c>
      <c r="D41" s="129"/>
      <c r="E41" s="130"/>
      <c r="G41" s="6" t="s">
        <v>45</v>
      </c>
      <c r="H41" s="100" t="s">
        <v>419</v>
      </c>
      <c r="I41" s="100"/>
      <c r="J41" s="100"/>
    </row>
    <row r="42" spans="2:22" ht="67" customHeight="1" x14ac:dyDescent="0.2">
      <c r="B42" s="6" t="s">
        <v>44</v>
      </c>
      <c r="C42" s="125" t="s">
        <v>414</v>
      </c>
      <c r="D42" s="126"/>
      <c r="E42" s="127"/>
      <c r="G42" s="6" t="s">
        <v>43</v>
      </c>
      <c r="H42" s="101" t="s">
        <v>420</v>
      </c>
      <c r="I42" s="101"/>
      <c r="J42" s="101"/>
    </row>
    <row r="43" spans="2:22" ht="67" customHeight="1" x14ac:dyDescent="0.2">
      <c r="B43" s="6" t="s">
        <v>416</v>
      </c>
      <c r="C43" s="101" t="s">
        <v>415</v>
      </c>
      <c r="D43" s="101"/>
      <c r="E43" s="101"/>
      <c r="G43" s="6" t="s">
        <v>42</v>
      </c>
      <c r="H43" s="125" t="s">
        <v>421</v>
      </c>
      <c r="I43" s="126"/>
      <c r="J43" s="127"/>
    </row>
    <row r="45" spans="2:22" ht="68" x14ac:dyDescent="0.2">
      <c r="B45" s="16" t="s">
        <v>41</v>
      </c>
      <c r="O45" s="16" t="s">
        <v>40</v>
      </c>
      <c r="P45" s="1"/>
      <c r="Q45" s="1"/>
      <c r="R45" s="1"/>
      <c r="S45" s="1"/>
      <c r="T45" s="1"/>
      <c r="U45" s="1"/>
      <c r="V45" s="1"/>
    </row>
    <row r="46" spans="2:22" x14ac:dyDescent="0.2">
      <c r="O46" s="1"/>
      <c r="P46" s="1"/>
      <c r="Q46" s="1"/>
      <c r="R46" s="1"/>
      <c r="S46" s="1"/>
      <c r="T46" s="1"/>
      <c r="U46" s="1"/>
      <c r="V46" s="1"/>
    </row>
    <row r="47" spans="2:22" ht="30" x14ac:dyDescent="0.2">
      <c r="B47" s="15" t="s">
        <v>39</v>
      </c>
      <c r="C47" s="15" t="s">
        <v>38</v>
      </c>
      <c r="D47" s="15">
        <v>2</v>
      </c>
      <c r="E47" s="15">
        <v>3</v>
      </c>
      <c r="F47" s="15">
        <v>4</v>
      </c>
      <c r="G47" s="15">
        <v>5</v>
      </c>
      <c r="H47" s="15">
        <v>6</v>
      </c>
      <c r="I47" s="15">
        <v>7</v>
      </c>
      <c r="J47" s="15">
        <v>8</v>
      </c>
      <c r="K47" s="15">
        <v>9</v>
      </c>
      <c r="O47" s="15" t="s">
        <v>39</v>
      </c>
      <c r="P47" s="15" t="s">
        <v>38</v>
      </c>
      <c r="Q47" s="15">
        <v>2</v>
      </c>
      <c r="R47" s="15">
        <v>3</v>
      </c>
      <c r="S47" s="15">
        <v>4</v>
      </c>
      <c r="T47" s="15">
        <v>5</v>
      </c>
      <c r="U47" s="15">
        <v>6</v>
      </c>
      <c r="V47" s="15">
        <v>7</v>
      </c>
    </row>
    <row r="48" spans="2:22" ht="123" customHeight="1" x14ac:dyDescent="0.2">
      <c r="B48" s="5" t="s">
        <v>37</v>
      </c>
      <c r="C48" s="5" t="s">
        <v>422</v>
      </c>
      <c r="D48" s="5" t="s">
        <v>423</v>
      </c>
      <c r="E48" s="5" t="s">
        <v>424</v>
      </c>
      <c r="F48" s="5" t="s">
        <v>425</v>
      </c>
      <c r="G48" s="5" t="s">
        <v>426</v>
      </c>
      <c r="H48" s="5" t="s">
        <v>427</v>
      </c>
      <c r="I48" s="5" t="s">
        <v>428</v>
      </c>
      <c r="J48" s="5" t="s">
        <v>429</v>
      </c>
      <c r="K48" s="5" t="s">
        <v>430</v>
      </c>
      <c r="O48" s="5" t="s">
        <v>37</v>
      </c>
      <c r="P48" s="85" t="s">
        <v>1674</v>
      </c>
      <c r="Q48" s="85" t="s">
        <v>1675</v>
      </c>
      <c r="R48" s="84" t="s">
        <v>1676</v>
      </c>
      <c r="S48" s="85" t="s">
        <v>1677</v>
      </c>
      <c r="T48" s="85" t="s">
        <v>1678</v>
      </c>
      <c r="U48" s="85" t="s">
        <v>1679</v>
      </c>
      <c r="V48" s="85" t="s">
        <v>1680</v>
      </c>
    </row>
    <row r="49" spans="2:22" ht="141" customHeight="1" x14ac:dyDescent="0.2">
      <c r="B49" s="13" t="s">
        <v>36</v>
      </c>
      <c r="C49" s="23" t="s">
        <v>431</v>
      </c>
      <c r="D49" s="23" t="s">
        <v>432</v>
      </c>
      <c r="E49" s="23" t="s">
        <v>433</v>
      </c>
      <c r="F49" s="23" t="s">
        <v>434</v>
      </c>
      <c r="G49" s="23" t="s">
        <v>435</v>
      </c>
      <c r="H49" s="23" t="s">
        <v>436</v>
      </c>
      <c r="I49" s="23" t="s">
        <v>437</v>
      </c>
      <c r="J49" s="23" t="s">
        <v>438</v>
      </c>
      <c r="K49" s="23" t="s">
        <v>439</v>
      </c>
      <c r="O49" s="13" t="s">
        <v>36</v>
      </c>
      <c r="P49" s="6" t="s">
        <v>1681</v>
      </c>
      <c r="Q49" s="6" t="s">
        <v>1682</v>
      </c>
      <c r="R49" s="6" t="s">
        <v>1683</v>
      </c>
      <c r="S49" s="6" t="s">
        <v>1684</v>
      </c>
      <c r="T49" s="6" t="s">
        <v>1685</v>
      </c>
      <c r="U49" s="6" t="s">
        <v>1686</v>
      </c>
      <c r="V49" s="6" t="s">
        <v>1687</v>
      </c>
    </row>
    <row r="50" spans="2:22" ht="15" x14ac:dyDescent="0.2">
      <c r="B50" s="13" t="s">
        <v>9</v>
      </c>
      <c r="C50" s="26" t="s">
        <v>16</v>
      </c>
      <c r="D50" s="26" t="s">
        <v>19</v>
      </c>
      <c r="E50" s="26" t="s">
        <v>21</v>
      </c>
      <c r="F50" s="26" t="s">
        <v>19</v>
      </c>
      <c r="G50" s="26" t="s">
        <v>18</v>
      </c>
      <c r="H50" s="26" t="s">
        <v>18</v>
      </c>
      <c r="I50" s="26" t="s">
        <v>21</v>
      </c>
      <c r="J50" s="26" t="s">
        <v>16</v>
      </c>
      <c r="K50" s="26" t="s">
        <v>19</v>
      </c>
      <c r="O50" s="13" t="s">
        <v>9</v>
      </c>
      <c r="P50" s="6" t="s">
        <v>1688</v>
      </c>
      <c r="Q50" s="7" t="s">
        <v>18</v>
      </c>
      <c r="R50" s="6" t="s">
        <v>16</v>
      </c>
      <c r="S50" s="6" t="s">
        <v>21</v>
      </c>
      <c r="T50" s="6" t="s">
        <v>18</v>
      </c>
      <c r="U50" s="6" t="s">
        <v>315</v>
      </c>
      <c r="V50" s="7" t="s">
        <v>18</v>
      </c>
    </row>
    <row r="51" spans="2:22" ht="15" x14ac:dyDescent="0.2">
      <c r="B51" s="13" t="s">
        <v>28</v>
      </c>
      <c r="C51" s="26" t="s">
        <v>440</v>
      </c>
      <c r="D51" s="26" t="s">
        <v>173</v>
      </c>
      <c r="E51" s="26" t="s">
        <v>18</v>
      </c>
      <c r="F51" s="26" t="s">
        <v>173</v>
      </c>
      <c r="G51" s="26" t="s">
        <v>18</v>
      </c>
      <c r="H51" s="26" t="s">
        <v>440</v>
      </c>
      <c r="I51" s="26" t="s">
        <v>318</v>
      </c>
      <c r="J51" s="26" t="s">
        <v>440</v>
      </c>
      <c r="K51" s="26" t="s">
        <v>173</v>
      </c>
      <c r="O51" s="13" t="s">
        <v>28</v>
      </c>
      <c r="P51" s="6" t="s">
        <v>179</v>
      </c>
      <c r="Q51" s="8" t="s">
        <v>18</v>
      </c>
      <c r="R51" s="6" t="s">
        <v>440</v>
      </c>
      <c r="S51" s="6" t="s">
        <v>179</v>
      </c>
      <c r="T51" s="7" t="s">
        <v>18</v>
      </c>
      <c r="U51" s="6" t="s">
        <v>18</v>
      </c>
      <c r="V51" s="6" t="s">
        <v>18</v>
      </c>
    </row>
    <row r="52" spans="2:22" ht="30" x14ac:dyDescent="0.2">
      <c r="B52" s="13" t="s">
        <v>35</v>
      </c>
      <c r="C52" s="26" t="s">
        <v>16</v>
      </c>
      <c r="D52" s="26" t="s">
        <v>21</v>
      </c>
      <c r="E52" s="26" t="s">
        <v>189</v>
      </c>
      <c r="F52" s="26" t="s">
        <v>21</v>
      </c>
      <c r="G52" s="26" t="s">
        <v>189</v>
      </c>
      <c r="H52" s="26" t="s">
        <v>16</v>
      </c>
      <c r="I52" s="26" t="s">
        <v>16</v>
      </c>
      <c r="J52" s="26" t="s">
        <v>16</v>
      </c>
      <c r="K52" s="26" t="s">
        <v>189</v>
      </c>
      <c r="O52" s="13" t="s">
        <v>35</v>
      </c>
      <c r="P52" s="7" t="s">
        <v>1689</v>
      </c>
      <c r="Q52" s="6" t="s">
        <v>140</v>
      </c>
      <c r="R52" s="6" t="s">
        <v>16</v>
      </c>
      <c r="S52" s="6" t="s">
        <v>695</v>
      </c>
      <c r="T52" s="6" t="s">
        <v>20</v>
      </c>
      <c r="U52" s="6" t="s">
        <v>20</v>
      </c>
      <c r="V52" s="6" t="s">
        <v>140</v>
      </c>
    </row>
    <row r="53" spans="2:22" ht="30" x14ac:dyDescent="0.2">
      <c r="B53" s="13" t="s">
        <v>26</v>
      </c>
      <c r="C53" s="26" t="s">
        <v>16</v>
      </c>
      <c r="D53" s="26" t="s">
        <v>16</v>
      </c>
      <c r="E53" s="26" t="s">
        <v>16</v>
      </c>
      <c r="F53" s="26" t="s">
        <v>16</v>
      </c>
      <c r="G53" s="26" t="s">
        <v>16</v>
      </c>
      <c r="H53" s="26" t="s">
        <v>16</v>
      </c>
      <c r="I53" s="26" t="s">
        <v>16</v>
      </c>
      <c r="J53" s="26" t="s">
        <v>16</v>
      </c>
      <c r="K53" s="26" t="s">
        <v>16</v>
      </c>
      <c r="O53" s="13" t="s">
        <v>26</v>
      </c>
      <c r="P53" s="7" t="s">
        <v>1631</v>
      </c>
      <c r="Q53" s="6" t="s">
        <v>140</v>
      </c>
      <c r="R53" s="6" t="s">
        <v>140</v>
      </c>
      <c r="S53" s="6" t="s">
        <v>140</v>
      </c>
      <c r="T53" s="6" t="s">
        <v>140</v>
      </c>
      <c r="U53" s="7" t="s">
        <v>20</v>
      </c>
      <c r="V53" s="6" t="s">
        <v>140</v>
      </c>
    </row>
    <row r="54" spans="2:22" ht="15" x14ac:dyDescent="0.2">
      <c r="B54" s="13" t="s">
        <v>25</v>
      </c>
      <c r="C54" s="26" t="s">
        <v>21</v>
      </c>
      <c r="D54" s="26" t="s">
        <v>21</v>
      </c>
      <c r="E54" s="26" t="s">
        <v>21</v>
      </c>
      <c r="F54" s="26" t="s">
        <v>21</v>
      </c>
      <c r="G54" s="26" t="s">
        <v>21</v>
      </c>
      <c r="H54" s="26" t="s">
        <v>21</v>
      </c>
      <c r="I54" s="26" t="s">
        <v>21</v>
      </c>
      <c r="J54" s="26" t="s">
        <v>21</v>
      </c>
      <c r="K54" s="26" t="s">
        <v>21</v>
      </c>
      <c r="O54" s="13" t="s">
        <v>25</v>
      </c>
      <c r="P54" s="7" t="s">
        <v>21</v>
      </c>
      <c r="Q54" s="6" t="s">
        <v>21</v>
      </c>
      <c r="R54" s="6" t="s">
        <v>21</v>
      </c>
      <c r="S54" s="6" t="s">
        <v>21</v>
      </c>
      <c r="T54" s="7" t="s">
        <v>21</v>
      </c>
      <c r="U54" s="6" t="s">
        <v>21</v>
      </c>
      <c r="V54" s="6" t="s">
        <v>21</v>
      </c>
    </row>
    <row r="55" spans="2:22" ht="30" x14ac:dyDescent="0.2">
      <c r="B55" s="13" t="s">
        <v>34</v>
      </c>
      <c r="C55" s="26" t="s">
        <v>21</v>
      </c>
      <c r="D55" s="26" t="s">
        <v>21</v>
      </c>
      <c r="E55" s="26" t="s">
        <v>21</v>
      </c>
      <c r="F55" s="26" t="s">
        <v>21</v>
      </c>
      <c r="G55" s="26" t="s">
        <v>21</v>
      </c>
      <c r="H55" s="26" t="s">
        <v>21</v>
      </c>
      <c r="I55" s="26" t="s">
        <v>21</v>
      </c>
      <c r="J55" s="26" t="s">
        <v>21</v>
      </c>
      <c r="K55" s="26" t="s">
        <v>21</v>
      </c>
      <c r="O55" s="13" t="s">
        <v>34</v>
      </c>
      <c r="P55" s="7" t="s">
        <v>139</v>
      </c>
      <c r="Q55" s="6" t="s">
        <v>139</v>
      </c>
      <c r="R55" s="6" t="s">
        <v>1657</v>
      </c>
      <c r="S55" s="6" t="s">
        <v>1657</v>
      </c>
      <c r="T55" s="7" t="s">
        <v>139</v>
      </c>
      <c r="U55" s="7" t="s">
        <v>139</v>
      </c>
      <c r="V55" s="6" t="s">
        <v>139</v>
      </c>
    </row>
    <row r="56" spans="2:22" ht="15" x14ac:dyDescent="0.2">
      <c r="B56" s="13" t="s">
        <v>5</v>
      </c>
      <c r="C56" s="26" t="s">
        <v>20</v>
      </c>
      <c r="D56" s="26" t="s">
        <v>322</v>
      </c>
      <c r="E56" s="26" t="s">
        <v>465</v>
      </c>
      <c r="F56" s="26" t="s">
        <v>20</v>
      </c>
      <c r="G56" s="26" t="s">
        <v>18</v>
      </c>
      <c r="H56" s="26" t="s">
        <v>20</v>
      </c>
      <c r="I56" s="26" t="s">
        <v>20</v>
      </c>
      <c r="J56" s="26" t="s">
        <v>20</v>
      </c>
      <c r="K56" s="26" t="s">
        <v>20</v>
      </c>
      <c r="O56" s="13" t="s">
        <v>5</v>
      </c>
      <c r="P56" s="7" t="s">
        <v>21</v>
      </c>
      <c r="Q56" s="6" t="s">
        <v>21</v>
      </c>
      <c r="R56" s="6" t="s">
        <v>21</v>
      </c>
      <c r="S56" s="6" t="s">
        <v>21</v>
      </c>
      <c r="T56" s="6" t="s">
        <v>21</v>
      </c>
      <c r="U56" s="6" t="s">
        <v>21</v>
      </c>
      <c r="V56" s="6" t="s">
        <v>20</v>
      </c>
    </row>
    <row r="57" spans="2:22" ht="30" x14ac:dyDescent="0.2">
      <c r="B57" s="13" t="s">
        <v>23</v>
      </c>
      <c r="C57" s="26" t="s">
        <v>142</v>
      </c>
      <c r="D57" s="26" t="s">
        <v>189</v>
      </c>
      <c r="E57" s="26" t="s">
        <v>142</v>
      </c>
      <c r="F57" s="26" t="s">
        <v>142</v>
      </c>
      <c r="G57" s="26" t="s">
        <v>189</v>
      </c>
      <c r="H57" s="26" t="s">
        <v>142</v>
      </c>
      <c r="I57" s="26" t="s">
        <v>142</v>
      </c>
      <c r="J57" s="26" t="s">
        <v>142</v>
      </c>
      <c r="K57" s="26" t="s">
        <v>142</v>
      </c>
      <c r="O57" s="13" t="s">
        <v>23</v>
      </c>
      <c r="P57" s="7" t="s">
        <v>21</v>
      </c>
      <c r="Q57" s="6" t="s">
        <v>19</v>
      </c>
      <c r="R57" s="6" t="s">
        <v>21</v>
      </c>
      <c r="S57" s="6" t="s">
        <v>21</v>
      </c>
      <c r="T57" s="7" t="s">
        <v>18</v>
      </c>
      <c r="U57" s="6" t="s">
        <v>18</v>
      </c>
      <c r="V57" s="7" t="s">
        <v>20</v>
      </c>
    </row>
    <row r="58" spans="2:22" ht="144" customHeight="1" x14ac:dyDescent="0.2">
      <c r="B58" s="13" t="s">
        <v>33</v>
      </c>
      <c r="C58" s="23" t="s">
        <v>441</v>
      </c>
      <c r="D58" s="23" t="s">
        <v>442</v>
      </c>
      <c r="E58" s="23" t="s">
        <v>443</v>
      </c>
      <c r="F58" s="23" t="s">
        <v>444</v>
      </c>
      <c r="G58" s="23" t="s">
        <v>445</v>
      </c>
      <c r="H58" s="23" t="s">
        <v>446</v>
      </c>
      <c r="I58" s="23" t="s">
        <v>447</v>
      </c>
      <c r="J58" s="23" t="s">
        <v>448</v>
      </c>
      <c r="K58" s="23" t="s">
        <v>449</v>
      </c>
      <c r="O58" s="13" t="s">
        <v>33</v>
      </c>
      <c r="P58" s="6" t="s">
        <v>1690</v>
      </c>
      <c r="Q58" s="6" t="s">
        <v>1691</v>
      </c>
      <c r="R58" s="6" t="s">
        <v>1692</v>
      </c>
      <c r="S58" s="6" t="s">
        <v>1693</v>
      </c>
      <c r="T58" s="7" t="s">
        <v>1694</v>
      </c>
      <c r="U58" s="7" t="s">
        <v>1695</v>
      </c>
      <c r="V58" s="6" t="s">
        <v>1696</v>
      </c>
    </row>
    <row r="59" spans="2:22" ht="23.5" customHeight="1" x14ac:dyDescent="0.2">
      <c r="B59" s="12"/>
      <c r="G59" s="11"/>
      <c r="H59" s="11"/>
    </row>
    <row r="60" spans="2:22" ht="23.5" customHeight="1" x14ac:dyDescent="0.2">
      <c r="B60" s="12"/>
      <c r="G60" s="11"/>
      <c r="H60" s="11"/>
    </row>
    <row r="62" spans="2:22" ht="12.75" customHeight="1" x14ac:dyDescent="0.2">
      <c r="B62" s="96" t="s">
        <v>32</v>
      </c>
      <c r="C62" s="96"/>
      <c r="D62" s="96"/>
      <c r="E62" s="96"/>
      <c r="F62" s="96"/>
      <c r="G62" s="96"/>
      <c r="H62" s="96"/>
      <c r="I62" s="96"/>
      <c r="J62" s="96"/>
      <c r="L62" s="96" t="s">
        <v>31</v>
      </c>
      <c r="M62" s="96"/>
      <c r="N62" s="96"/>
      <c r="O62" s="96"/>
      <c r="P62" s="96"/>
      <c r="Q62" s="96"/>
      <c r="R62" s="96"/>
      <c r="S62" s="96"/>
      <c r="T62" s="96"/>
    </row>
    <row r="63" spans="2:22" ht="30" x14ac:dyDescent="0.2">
      <c r="B63" s="4" t="s">
        <v>10</v>
      </c>
      <c r="C63" s="4" t="s">
        <v>9</v>
      </c>
      <c r="D63" s="4" t="s">
        <v>28</v>
      </c>
      <c r="E63" s="4" t="s">
        <v>27</v>
      </c>
      <c r="F63" s="4" t="s">
        <v>26</v>
      </c>
      <c r="G63" s="4" t="s">
        <v>25</v>
      </c>
      <c r="H63" s="4" t="s">
        <v>24</v>
      </c>
      <c r="I63" s="4" t="s">
        <v>5</v>
      </c>
      <c r="J63" s="4" t="s">
        <v>23</v>
      </c>
      <c r="L63" s="4" t="s">
        <v>10</v>
      </c>
      <c r="M63" s="4" t="s">
        <v>9</v>
      </c>
      <c r="N63" s="4" t="s">
        <v>28</v>
      </c>
      <c r="O63" s="4" t="s">
        <v>27</v>
      </c>
      <c r="P63" s="4" t="s">
        <v>26</v>
      </c>
      <c r="Q63" s="4" t="s">
        <v>25</v>
      </c>
      <c r="R63" s="4" t="s">
        <v>24</v>
      </c>
      <c r="S63" s="4" t="s">
        <v>5</v>
      </c>
      <c r="T63" s="4" t="s">
        <v>23</v>
      </c>
    </row>
    <row r="64" spans="2:22" ht="30" x14ac:dyDescent="0.2">
      <c r="B64" s="25" t="s">
        <v>450</v>
      </c>
      <c r="C64" s="26" t="s">
        <v>16</v>
      </c>
      <c r="D64" s="26" t="s">
        <v>440</v>
      </c>
      <c r="E64" s="26" t="s">
        <v>16</v>
      </c>
      <c r="F64" s="26" t="s">
        <v>17</v>
      </c>
      <c r="G64" s="26" t="s">
        <v>21</v>
      </c>
      <c r="H64" s="26" t="s">
        <v>21</v>
      </c>
      <c r="I64" s="26" t="s">
        <v>20</v>
      </c>
      <c r="J64" s="3" t="s">
        <v>142</v>
      </c>
      <c r="L64" s="3" t="s">
        <v>1698</v>
      </c>
      <c r="M64" s="3" t="s">
        <v>21</v>
      </c>
      <c r="N64" s="3" t="s">
        <v>179</v>
      </c>
      <c r="O64" s="3" t="s">
        <v>1865</v>
      </c>
      <c r="P64" s="3" t="s">
        <v>1697</v>
      </c>
      <c r="Q64" s="28" t="s">
        <v>21</v>
      </c>
      <c r="R64" s="28" t="s">
        <v>139</v>
      </c>
      <c r="S64" s="28" t="s">
        <v>21</v>
      </c>
      <c r="T64" s="28" t="s">
        <v>21</v>
      </c>
    </row>
    <row r="65" spans="2:20" ht="45" x14ac:dyDescent="0.2">
      <c r="B65" s="25" t="s">
        <v>451</v>
      </c>
      <c r="C65" s="26" t="s">
        <v>19</v>
      </c>
      <c r="D65" s="26" t="s">
        <v>173</v>
      </c>
      <c r="E65" s="26" t="s">
        <v>21</v>
      </c>
      <c r="F65" s="26" t="s">
        <v>16</v>
      </c>
      <c r="G65" s="26" t="s">
        <v>21</v>
      </c>
      <c r="H65" s="26" t="s">
        <v>21</v>
      </c>
      <c r="I65" s="26" t="s">
        <v>322</v>
      </c>
      <c r="J65" s="3" t="s">
        <v>142</v>
      </c>
      <c r="L65" s="3" t="s">
        <v>1699</v>
      </c>
      <c r="M65" s="3" t="s">
        <v>18</v>
      </c>
      <c r="N65" s="3" t="s">
        <v>18</v>
      </c>
      <c r="O65" s="3" t="s">
        <v>140</v>
      </c>
      <c r="P65" s="3" t="s">
        <v>140</v>
      </c>
      <c r="Q65" s="28" t="s">
        <v>21</v>
      </c>
      <c r="R65" s="28" t="s">
        <v>139</v>
      </c>
      <c r="S65" s="28" t="s">
        <v>21</v>
      </c>
      <c r="T65" s="28" t="s">
        <v>19</v>
      </c>
    </row>
    <row r="66" spans="2:20" ht="45" x14ac:dyDescent="0.2">
      <c r="B66" s="25" t="s">
        <v>452</v>
      </c>
      <c r="C66" s="26" t="s">
        <v>21</v>
      </c>
      <c r="D66" s="26" t="s">
        <v>18</v>
      </c>
      <c r="E66" s="26" t="s">
        <v>189</v>
      </c>
      <c r="F66" s="26" t="s">
        <v>16</v>
      </c>
      <c r="G66" s="26" t="s">
        <v>21</v>
      </c>
      <c r="H66" s="26" t="s">
        <v>21</v>
      </c>
      <c r="I66" s="26" t="s">
        <v>189</v>
      </c>
      <c r="J66" s="3" t="s">
        <v>142</v>
      </c>
      <c r="L66" s="3" t="s">
        <v>1700</v>
      </c>
      <c r="M66" s="3" t="s">
        <v>16</v>
      </c>
      <c r="N66" s="3" t="s">
        <v>440</v>
      </c>
      <c r="O66" s="3" t="s">
        <v>16</v>
      </c>
      <c r="P66" s="3" t="s">
        <v>140</v>
      </c>
      <c r="Q66" s="28" t="s">
        <v>21</v>
      </c>
      <c r="R66" s="28" t="s">
        <v>1874</v>
      </c>
      <c r="S66" s="28" t="s">
        <v>21</v>
      </c>
      <c r="T66" s="28" t="s">
        <v>21</v>
      </c>
    </row>
    <row r="67" spans="2:20" ht="30" x14ac:dyDescent="0.2">
      <c r="B67" s="25" t="s">
        <v>453</v>
      </c>
      <c r="C67" s="26" t="s">
        <v>19</v>
      </c>
      <c r="D67" s="26" t="s">
        <v>173</v>
      </c>
      <c r="E67" s="26" t="s">
        <v>21</v>
      </c>
      <c r="F67" s="26" t="s">
        <v>16</v>
      </c>
      <c r="G67" s="26" t="s">
        <v>21</v>
      </c>
      <c r="H67" s="26" t="s">
        <v>21</v>
      </c>
      <c r="I67" s="26" t="s">
        <v>20</v>
      </c>
      <c r="J67" s="3" t="s">
        <v>142</v>
      </c>
      <c r="L67" s="3" t="s">
        <v>1701</v>
      </c>
      <c r="M67" s="3" t="s">
        <v>21</v>
      </c>
      <c r="N67" s="3" t="s">
        <v>179</v>
      </c>
      <c r="O67" s="3" t="s">
        <v>695</v>
      </c>
      <c r="P67" s="3" t="s">
        <v>140</v>
      </c>
      <c r="Q67" s="28" t="s">
        <v>21</v>
      </c>
      <c r="R67" s="28" t="s">
        <v>1874</v>
      </c>
      <c r="S67" s="28" t="s">
        <v>21</v>
      </c>
      <c r="T67" s="28" t="s">
        <v>21</v>
      </c>
    </row>
    <row r="68" spans="2:20" ht="30" x14ac:dyDescent="0.2">
      <c r="B68" s="25" t="s">
        <v>454</v>
      </c>
      <c r="C68" s="26" t="s">
        <v>18</v>
      </c>
      <c r="D68" s="26" t="s">
        <v>18</v>
      </c>
      <c r="E68" s="26" t="s">
        <v>189</v>
      </c>
      <c r="F68" s="26" t="s">
        <v>16</v>
      </c>
      <c r="G68" s="26" t="s">
        <v>21</v>
      </c>
      <c r="H68" s="26" t="s">
        <v>21</v>
      </c>
      <c r="I68" s="26" t="s">
        <v>18</v>
      </c>
      <c r="J68" s="3" t="s">
        <v>142</v>
      </c>
      <c r="L68" s="3" t="s">
        <v>1702</v>
      </c>
      <c r="M68" s="3" t="s">
        <v>18</v>
      </c>
      <c r="N68" s="3" t="s">
        <v>18</v>
      </c>
      <c r="O68" s="3" t="s">
        <v>20</v>
      </c>
      <c r="P68" s="3" t="s">
        <v>140</v>
      </c>
      <c r="Q68" s="28" t="s">
        <v>21</v>
      </c>
      <c r="R68" s="28" t="s">
        <v>139</v>
      </c>
      <c r="S68" s="28" t="s">
        <v>21</v>
      </c>
      <c r="T68" s="28" t="s">
        <v>18</v>
      </c>
    </row>
    <row r="69" spans="2:20" ht="45" x14ac:dyDescent="0.2">
      <c r="B69" s="25" t="s">
        <v>455</v>
      </c>
      <c r="C69" s="26" t="s">
        <v>18</v>
      </c>
      <c r="D69" s="26" t="s">
        <v>440</v>
      </c>
      <c r="E69" s="26" t="s">
        <v>16</v>
      </c>
      <c r="F69" s="26" t="s">
        <v>16</v>
      </c>
      <c r="G69" s="26" t="s">
        <v>21</v>
      </c>
      <c r="H69" s="26" t="s">
        <v>19</v>
      </c>
      <c r="I69" s="26" t="s">
        <v>20</v>
      </c>
      <c r="J69" s="3" t="s">
        <v>142</v>
      </c>
      <c r="L69" s="3" t="s">
        <v>1703</v>
      </c>
      <c r="M69" s="3" t="s">
        <v>315</v>
      </c>
      <c r="N69" s="3" t="s">
        <v>18</v>
      </c>
      <c r="O69" s="3" t="s">
        <v>20</v>
      </c>
      <c r="P69" s="3" t="s">
        <v>20</v>
      </c>
      <c r="Q69" s="28" t="s">
        <v>21</v>
      </c>
      <c r="R69" s="28" t="s">
        <v>139</v>
      </c>
      <c r="S69" s="28" t="s">
        <v>21</v>
      </c>
      <c r="T69" s="28" t="s">
        <v>18</v>
      </c>
    </row>
    <row r="70" spans="2:20" ht="30" x14ac:dyDescent="0.2">
      <c r="B70" s="25" t="s">
        <v>456</v>
      </c>
      <c r="C70" s="26" t="s">
        <v>16</v>
      </c>
      <c r="D70" s="26" t="s">
        <v>440</v>
      </c>
      <c r="E70" s="26" t="s">
        <v>16</v>
      </c>
      <c r="F70" s="26" t="s">
        <v>16</v>
      </c>
      <c r="G70" s="26" t="s">
        <v>21</v>
      </c>
      <c r="H70" s="26" t="s">
        <v>19</v>
      </c>
      <c r="I70" s="26" t="s">
        <v>20</v>
      </c>
      <c r="J70" s="3" t="s">
        <v>142</v>
      </c>
      <c r="L70" s="3" t="s">
        <v>1704</v>
      </c>
      <c r="M70" s="3" t="s">
        <v>18</v>
      </c>
      <c r="N70" s="3" t="s">
        <v>18</v>
      </c>
      <c r="O70" s="3" t="s">
        <v>140</v>
      </c>
      <c r="P70" s="3" t="s">
        <v>140</v>
      </c>
      <c r="Q70" s="28" t="s">
        <v>21</v>
      </c>
      <c r="R70" s="28" t="s">
        <v>139</v>
      </c>
      <c r="S70" s="28" t="s">
        <v>20</v>
      </c>
      <c r="T70" s="28" t="s">
        <v>20</v>
      </c>
    </row>
    <row r="71" spans="2:20" ht="30" x14ac:dyDescent="0.2">
      <c r="B71" s="25" t="s">
        <v>457</v>
      </c>
      <c r="C71" s="26" t="s">
        <v>19</v>
      </c>
      <c r="D71" s="26" t="s">
        <v>173</v>
      </c>
      <c r="E71" s="26" t="s">
        <v>189</v>
      </c>
      <c r="F71" s="26" t="s">
        <v>16</v>
      </c>
      <c r="G71" s="26" t="s">
        <v>21</v>
      </c>
      <c r="H71" s="26" t="s">
        <v>21</v>
      </c>
      <c r="I71" s="26" t="s">
        <v>20</v>
      </c>
      <c r="J71" s="3" t="s">
        <v>142</v>
      </c>
      <c r="L71" s="3"/>
      <c r="M71" s="3"/>
      <c r="N71" s="3"/>
      <c r="O71" s="3"/>
      <c r="P71" s="3"/>
      <c r="Q71" s="3"/>
      <c r="R71" s="3"/>
      <c r="S71" s="3"/>
      <c r="T71" s="3"/>
    </row>
    <row r="72" spans="2:20" x14ac:dyDescent="0.2">
      <c r="B72" s="3"/>
      <c r="C72" s="3"/>
      <c r="D72" s="3"/>
      <c r="E72" s="3"/>
      <c r="F72" s="3"/>
      <c r="G72" s="3"/>
      <c r="H72" s="3"/>
      <c r="I72" s="3"/>
      <c r="J72" s="3"/>
      <c r="L72" s="3"/>
      <c r="M72" s="3"/>
      <c r="N72" s="3"/>
      <c r="O72" s="3"/>
      <c r="P72" s="3"/>
      <c r="Q72" s="3"/>
      <c r="R72" s="3"/>
      <c r="S72" s="3"/>
      <c r="T72" s="3"/>
    </row>
    <row r="73" spans="2:20" x14ac:dyDescent="0.2">
      <c r="B73" s="3"/>
      <c r="C73" s="3"/>
      <c r="D73" s="3"/>
      <c r="E73" s="3"/>
      <c r="F73" s="3"/>
      <c r="G73" s="3"/>
      <c r="H73" s="3"/>
      <c r="I73" s="3"/>
      <c r="J73" s="3"/>
      <c r="L73" s="3"/>
      <c r="M73" s="3"/>
      <c r="N73" s="3"/>
      <c r="O73" s="3"/>
      <c r="P73" s="3"/>
      <c r="Q73" s="3"/>
      <c r="R73" s="3"/>
      <c r="S73" s="3"/>
      <c r="T73" s="3"/>
    </row>
    <row r="74" spans="2:20" x14ac:dyDescent="0.2">
      <c r="B74" s="10"/>
      <c r="C74" s="10"/>
      <c r="D74" s="10"/>
      <c r="E74" s="10"/>
      <c r="F74" s="10"/>
      <c r="G74" s="10"/>
      <c r="H74" s="10"/>
      <c r="I74" s="10"/>
      <c r="J74" s="10"/>
    </row>
    <row r="76" spans="2:20" ht="12.75" customHeight="1" x14ac:dyDescent="0.2">
      <c r="B76" s="96" t="s">
        <v>30</v>
      </c>
      <c r="C76" s="96"/>
      <c r="D76" s="96"/>
      <c r="E76" s="96"/>
      <c r="F76" s="96"/>
      <c r="G76" s="96"/>
      <c r="H76" s="96"/>
      <c r="I76" s="96"/>
      <c r="J76" s="96"/>
    </row>
    <row r="77" spans="2:20" ht="15" x14ac:dyDescent="0.2">
      <c r="B77" s="4" t="s">
        <v>29</v>
      </c>
      <c r="C77" s="4" t="s">
        <v>9</v>
      </c>
      <c r="D77" s="4" t="s">
        <v>28</v>
      </c>
      <c r="E77" s="4" t="s">
        <v>27</v>
      </c>
      <c r="F77" s="4" t="s">
        <v>26</v>
      </c>
      <c r="G77" s="4" t="s">
        <v>25</v>
      </c>
      <c r="H77" s="4" t="s">
        <v>24</v>
      </c>
      <c r="I77" s="4" t="s">
        <v>5</v>
      </c>
      <c r="J77" s="4" t="s">
        <v>23</v>
      </c>
    </row>
    <row r="78" spans="2:20" ht="15" x14ac:dyDescent="0.2">
      <c r="B78" s="25" t="s">
        <v>22</v>
      </c>
      <c r="C78" s="41" t="s">
        <v>458</v>
      </c>
      <c r="D78" s="41" t="s">
        <v>440</v>
      </c>
      <c r="E78" s="41" t="s">
        <v>322</v>
      </c>
      <c r="F78" s="41" t="s">
        <v>18</v>
      </c>
      <c r="G78" s="41" t="s">
        <v>21</v>
      </c>
      <c r="H78" s="41" t="s">
        <v>21</v>
      </c>
      <c r="I78" s="41" t="s">
        <v>459</v>
      </c>
      <c r="J78" s="3" t="s">
        <v>16</v>
      </c>
    </row>
    <row r="79" spans="2:20" ht="15" x14ac:dyDescent="0.2">
      <c r="B79" s="25" t="s">
        <v>460</v>
      </c>
      <c r="C79" s="41" t="s">
        <v>350</v>
      </c>
      <c r="D79" s="41" t="s">
        <v>461</v>
      </c>
      <c r="E79" s="41" t="s">
        <v>322</v>
      </c>
      <c r="F79" s="41" t="s">
        <v>21</v>
      </c>
      <c r="G79" s="41" t="s">
        <v>21</v>
      </c>
      <c r="H79" s="41" t="s">
        <v>192</v>
      </c>
      <c r="I79" s="41" t="s">
        <v>459</v>
      </c>
      <c r="J79" s="3" t="s">
        <v>16</v>
      </c>
    </row>
    <row r="80" spans="2:20" ht="30" x14ac:dyDescent="0.2">
      <c r="B80" s="25" t="s">
        <v>462</v>
      </c>
      <c r="C80" s="41" t="s">
        <v>463</v>
      </c>
      <c r="D80" s="41" t="s">
        <v>440</v>
      </c>
      <c r="E80" s="41" t="s">
        <v>322</v>
      </c>
      <c r="F80" s="23" t="s">
        <v>464</v>
      </c>
      <c r="G80" s="41" t="s">
        <v>21</v>
      </c>
      <c r="H80" s="41" t="s">
        <v>21</v>
      </c>
      <c r="I80" s="41" t="s">
        <v>459</v>
      </c>
      <c r="J80" s="6" t="s">
        <v>142</v>
      </c>
    </row>
    <row r="81" spans="2:11" x14ac:dyDescent="0.2">
      <c r="B81" s="6"/>
      <c r="C81" s="7"/>
      <c r="D81" s="6"/>
      <c r="E81" s="6"/>
      <c r="F81" s="6"/>
      <c r="G81" s="6"/>
      <c r="H81" s="6"/>
      <c r="I81" s="6"/>
      <c r="J81" s="6"/>
    </row>
    <row r="82" spans="2:11" x14ac:dyDescent="0.2">
      <c r="B82" s="6"/>
      <c r="C82" s="9"/>
      <c r="D82" s="6"/>
      <c r="E82" s="6"/>
      <c r="F82" s="6"/>
      <c r="G82" s="6"/>
      <c r="H82" s="6"/>
      <c r="I82" s="6"/>
      <c r="J82" s="6"/>
    </row>
    <row r="83" spans="2:11" x14ac:dyDescent="0.2">
      <c r="B83" s="6"/>
      <c r="C83" s="8"/>
      <c r="D83" s="6"/>
      <c r="E83" s="6"/>
      <c r="F83" s="6"/>
      <c r="G83" s="6"/>
      <c r="H83" s="6"/>
      <c r="I83" s="6"/>
      <c r="J83" s="6"/>
    </row>
    <row r="84" spans="2:11" x14ac:dyDescent="0.2">
      <c r="B84" s="7"/>
      <c r="C84" s="7"/>
      <c r="D84" s="8"/>
      <c r="E84" s="7"/>
      <c r="F84" s="6"/>
      <c r="G84" s="6"/>
      <c r="H84" s="6"/>
      <c r="I84" s="6"/>
      <c r="J84" s="6"/>
    </row>
    <row r="85" spans="2:11" x14ac:dyDescent="0.2">
      <c r="B85" s="7"/>
      <c r="C85" s="8"/>
      <c r="D85" s="6"/>
      <c r="E85" s="6"/>
      <c r="F85" s="6"/>
      <c r="G85" s="6"/>
      <c r="H85" s="6"/>
      <c r="I85" s="6"/>
      <c r="J85" s="6"/>
    </row>
    <row r="86" spans="2:11" x14ac:dyDescent="0.2">
      <c r="B86" s="7"/>
      <c r="C86" s="7"/>
      <c r="D86" s="6"/>
      <c r="E86" s="6"/>
      <c r="F86" s="6"/>
      <c r="G86" s="6"/>
      <c r="H86" s="6"/>
      <c r="I86" s="6"/>
      <c r="J86" s="6"/>
    </row>
    <row r="88" spans="2:11" ht="12.75" customHeight="1" x14ac:dyDescent="0.2">
      <c r="B88" s="97" t="s">
        <v>15</v>
      </c>
      <c r="C88" s="97"/>
      <c r="D88" s="97"/>
      <c r="E88" s="97"/>
      <c r="F88" s="97"/>
      <c r="G88" s="97"/>
      <c r="H88" s="97"/>
    </row>
    <row r="89" spans="2:11" ht="13.75" customHeight="1" x14ac:dyDescent="0.2">
      <c r="B89" s="5" t="s">
        <v>10</v>
      </c>
      <c r="C89" s="5" t="s">
        <v>9</v>
      </c>
      <c r="D89" s="5" t="s">
        <v>14</v>
      </c>
      <c r="E89" s="5" t="s">
        <v>7</v>
      </c>
      <c r="F89" s="5" t="s">
        <v>13</v>
      </c>
      <c r="G89" s="5" t="s">
        <v>5</v>
      </c>
      <c r="H89" s="5" t="s">
        <v>12</v>
      </c>
      <c r="J89" s="91" t="s">
        <v>11</v>
      </c>
      <c r="K89" s="92"/>
    </row>
    <row r="90" spans="2:11" ht="13.75" customHeight="1" x14ac:dyDescent="0.2">
      <c r="B90" s="4" t="s">
        <v>10</v>
      </c>
      <c r="C90" s="4" t="s">
        <v>9</v>
      </c>
      <c r="D90" s="4" t="s">
        <v>8</v>
      </c>
      <c r="E90" s="4" t="s">
        <v>7</v>
      </c>
      <c r="F90" s="4" t="s">
        <v>6</v>
      </c>
      <c r="G90" s="4" t="s">
        <v>5</v>
      </c>
      <c r="H90" s="4" t="s">
        <v>4</v>
      </c>
      <c r="J90" s="91" t="s">
        <v>3</v>
      </c>
      <c r="K90" s="92"/>
    </row>
    <row r="91" spans="2:11" ht="13.75" customHeight="1" x14ac:dyDescent="0.2">
      <c r="B91" s="39" t="s">
        <v>422</v>
      </c>
      <c r="C91" s="26">
        <v>5</v>
      </c>
      <c r="D91" s="26">
        <v>5</v>
      </c>
      <c r="E91" s="26">
        <v>5</v>
      </c>
      <c r="F91" s="26">
        <v>4</v>
      </c>
      <c r="G91" s="26">
        <v>3</v>
      </c>
      <c r="H91" s="2"/>
      <c r="J91" s="91" t="s">
        <v>2</v>
      </c>
      <c r="K91" s="92"/>
    </row>
    <row r="92" spans="2:11" ht="13.75" customHeight="1" x14ac:dyDescent="0.2">
      <c r="B92" s="39" t="s">
        <v>429</v>
      </c>
      <c r="C92" s="26">
        <v>5</v>
      </c>
      <c r="D92" s="26">
        <v>4</v>
      </c>
      <c r="E92" s="26">
        <v>5</v>
      </c>
      <c r="F92" s="26">
        <v>5</v>
      </c>
      <c r="G92" s="26">
        <v>3</v>
      </c>
      <c r="H92" s="2"/>
      <c r="J92" s="91" t="s">
        <v>1</v>
      </c>
      <c r="K92" s="92"/>
    </row>
    <row r="93" spans="2:11" ht="15" x14ac:dyDescent="0.2">
      <c r="B93" s="39" t="s">
        <v>466</v>
      </c>
      <c r="C93" s="26">
        <v>3</v>
      </c>
      <c r="D93" s="26">
        <v>4</v>
      </c>
      <c r="E93" s="26">
        <v>4</v>
      </c>
      <c r="F93" s="26">
        <v>4</v>
      </c>
      <c r="G93" s="26">
        <v>3</v>
      </c>
      <c r="H93" s="2"/>
      <c r="J93" s="92" t="s">
        <v>0</v>
      </c>
      <c r="K93" s="92"/>
    </row>
    <row r="94" spans="2:11" ht="15" x14ac:dyDescent="0.2">
      <c r="B94" s="39" t="s">
        <v>424</v>
      </c>
      <c r="C94" s="26">
        <v>3</v>
      </c>
      <c r="D94" s="26">
        <v>4</v>
      </c>
      <c r="E94" s="26">
        <v>3</v>
      </c>
      <c r="F94" s="26">
        <v>3</v>
      </c>
      <c r="G94" s="26">
        <v>3</v>
      </c>
      <c r="H94" s="2"/>
    </row>
    <row r="95" spans="2:11" ht="15" x14ac:dyDescent="0.2">
      <c r="B95" s="39" t="s">
        <v>467</v>
      </c>
      <c r="C95" s="26">
        <v>3</v>
      </c>
      <c r="D95" s="26">
        <v>4</v>
      </c>
      <c r="E95" s="26">
        <v>4</v>
      </c>
      <c r="F95" s="26">
        <v>3</v>
      </c>
      <c r="G95" s="26">
        <v>3</v>
      </c>
      <c r="H95" s="2"/>
    </row>
    <row r="96" spans="2:11" ht="15" x14ac:dyDescent="0.2">
      <c r="B96" s="39" t="s">
        <v>423</v>
      </c>
      <c r="C96" s="26">
        <v>1</v>
      </c>
      <c r="D96" s="26">
        <v>5</v>
      </c>
      <c r="E96" s="26">
        <v>2</v>
      </c>
      <c r="F96" s="26">
        <v>3</v>
      </c>
      <c r="G96" s="26">
        <v>3</v>
      </c>
      <c r="H96" s="2"/>
    </row>
    <row r="97" spans="1:14" ht="15" x14ac:dyDescent="0.2">
      <c r="B97" s="39" t="s">
        <v>468</v>
      </c>
      <c r="C97" s="26">
        <v>1</v>
      </c>
      <c r="D97" s="26">
        <v>5</v>
      </c>
      <c r="E97" s="26">
        <v>2</v>
      </c>
      <c r="F97" s="26">
        <v>2</v>
      </c>
      <c r="G97" s="26">
        <v>3</v>
      </c>
      <c r="H97" s="2"/>
    </row>
    <row r="98" spans="1:14" ht="20.75" customHeight="1" x14ac:dyDescent="0.2">
      <c r="B98" s="39" t="s">
        <v>469</v>
      </c>
      <c r="C98" s="26">
        <v>1</v>
      </c>
      <c r="D98" s="26">
        <v>4</v>
      </c>
      <c r="E98" s="26">
        <v>3</v>
      </c>
      <c r="F98" s="26">
        <v>1</v>
      </c>
      <c r="G98" s="26">
        <v>3</v>
      </c>
      <c r="H98" s="2"/>
    </row>
    <row r="99" spans="1:14" ht="20.75" customHeight="1" x14ac:dyDescent="0.2">
      <c r="B99" s="3"/>
      <c r="C99" s="3"/>
      <c r="D99" s="3"/>
      <c r="E99" s="3"/>
      <c r="F99" s="3"/>
      <c r="G99" s="3"/>
      <c r="H99" s="2"/>
    </row>
    <row r="100" spans="1:14" ht="20.75" customHeight="1" x14ac:dyDescent="0.2">
      <c r="B100" s="3"/>
      <c r="C100" s="3"/>
      <c r="D100" s="3"/>
      <c r="E100" s="3"/>
      <c r="F100" s="3"/>
      <c r="G100" s="3"/>
      <c r="H100" s="2"/>
    </row>
    <row r="101" spans="1:14" ht="20.75" customHeight="1" x14ac:dyDescent="0.2"/>
    <row r="102" spans="1:14" ht="29.5" customHeight="1" x14ac:dyDescent="0.2"/>
    <row r="106" spans="1:14" x14ac:dyDescent="0.2">
      <c r="A106" s="90" t="s">
        <v>1615</v>
      </c>
      <c r="B106" s="88"/>
      <c r="C106" s="88"/>
      <c r="D106" s="88"/>
      <c r="E106" s="88"/>
      <c r="F106" s="88"/>
      <c r="G106" s="88"/>
      <c r="H106" s="88"/>
      <c r="I106" s="88"/>
      <c r="J106" s="88"/>
      <c r="K106" s="88"/>
      <c r="L106" s="88"/>
      <c r="M106" s="88"/>
      <c r="N106" s="89"/>
    </row>
    <row r="107" spans="1:14" x14ac:dyDescent="0.2">
      <c r="A107" s="87" t="s">
        <v>1572</v>
      </c>
      <c r="B107" s="88"/>
      <c r="C107" s="88"/>
      <c r="D107" s="88"/>
      <c r="E107" s="88"/>
      <c r="F107" s="88"/>
      <c r="G107" s="88"/>
      <c r="H107" s="88"/>
      <c r="I107" s="88"/>
      <c r="J107" s="88"/>
      <c r="K107" s="88"/>
      <c r="L107" s="88"/>
      <c r="M107" s="88"/>
      <c r="N107" s="89"/>
    </row>
    <row r="108" spans="1:14" x14ac:dyDescent="0.2">
      <c r="A108" s="87" t="s">
        <v>1573</v>
      </c>
      <c r="B108" s="88"/>
      <c r="C108" s="88"/>
      <c r="D108" s="88"/>
      <c r="E108" s="88"/>
      <c r="F108" s="88"/>
      <c r="G108" s="88"/>
      <c r="H108" s="88"/>
      <c r="I108" s="88"/>
      <c r="J108" s="88"/>
      <c r="K108" s="88"/>
      <c r="L108" s="88"/>
      <c r="M108" s="88"/>
      <c r="N108" s="89"/>
    </row>
    <row r="109" spans="1:14" x14ac:dyDescent="0.2">
      <c r="A109" s="87" t="s">
        <v>1574</v>
      </c>
      <c r="B109" s="88"/>
      <c r="C109" s="88"/>
      <c r="D109" s="88"/>
      <c r="E109" s="88"/>
      <c r="F109" s="88"/>
      <c r="G109" s="88"/>
      <c r="H109" s="88"/>
      <c r="I109" s="88"/>
      <c r="J109" s="88"/>
      <c r="K109" s="88"/>
      <c r="L109" s="88"/>
      <c r="M109" s="88"/>
      <c r="N109" s="89"/>
    </row>
    <row r="110" spans="1:14" x14ac:dyDescent="0.2">
      <c r="A110" t="s">
        <v>1883</v>
      </c>
    </row>
  </sheetData>
  <mergeCells count="43">
    <mergeCell ref="G10:I10"/>
    <mergeCell ref="B1:E1"/>
    <mergeCell ref="C2:E2"/>
    <mergeCell ref="C3:E3"/>
    <mergeCell ref="C4:E4"/>
    <mergeCell ref="C5:E5"/>
    <mergeCell ref="C6:E6"/>
    <mergeCell ref="C7:E7"/>
    <mergeCell ref="B10:E10"/>
    <mergeCell ref="C15:E15"/>
    <mergeCell ref="C16:E16"/>
    <mergeCell ref="C11:E11"/>
    <mergeCell ref="C12:E12"/>
    <mergeCell ref="C14:E14"/>
    <mergeCell ref="B38:E38"/>
    <mergeCell ref="G38:J38"/>
    <mergeCell ref="B20:C20"/>
    <mergeCell ref="C13:E13"/>
    <mergeCell ref="C17:E17"/>
    <mergeCell ref="C18:E18"/>
    <mergeCell ref="C39:E39"/>
    <mergeCell ref="H39:J39"/>
    <mergeCell ref="C40:E40"/>
    <mergeCell ref="H40:J40"/>
    <mergeCell ref="L62:T62"/>
    <mergeCell ref="B62:J62"/>
    <mergeCell ref="C43:E43"/>
    <mergeCell ref="H43:J43"/>
    <mergeCell ref="C41:E41"/>
    <mergeCell ref="H41:J41"/>
    <mergeCell ref="C42:E42"/>
    <mergeCell ref="H42:J42"/>
    <mergeCell ref="B76:J76"/>
    <mergeCell ref="B88:H88"/>
    <mergeCell ref="A106:N106"/>
    <mergeCell ref="A107:N107"/>
    <mergeCell ref="J89:K89"/>
    <mergeCell ref="A108:N108"/>
    <mergeCell ref="A109:N109"/>
    <mergeCell ref="J90:K90"/>
    <mergeCell ref="J91:K91"/>
    <mergeCell ref="J92:K92"/>
    <mergeCell ref="J93:K93"/>
  </mergeCells>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CA5B-15C2-4E0E-97D8-6294EC055D97}">
  <dimension ref="A1:W105"/>
  <sheetViews>
    <sheetView zoomScale="107" zoomScaleNormal="80" workbookViewId="0">
      <selection activeCell="J13" sqref="J13"/>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85</v>
      </c>
      <c r="D2" s="101"/>
      <c r="E2" s="101"/>
    </row>
    <row r="3" spans="2:9" ht="12.75" customHeight="1" x14ac:dyDescent="0.2">
      <c r="B3" s="13" t="s">
        <v>69</v>
      </c>
      <c r="C3" s="101" t="s">
        <v>470</v>
      </c>
      <c r="D3" s="101"/>
      <c r="E3" s="101"/>
    </row>
    <row r="4" spans="2:9" ht="12.75" customHeight="1" x14ac:dyDescent="0.2">
      <c r="B4" s="13" t="s">
        <v>68</v>
      </c>
      <c r="C4" s="101" t="s">
        <v>471</v>
      </c>
      <c r="D4" s="101"/>
      <c r="E4" s="101"/>
    </row>
    <row r="5" spans="2:9" ht="12.75" customHeight="1" x14ac:dyDescent="0.2">
      <c r="B5" s="13" t="s">
        <v>67</v>
      </c>
      <c r="C5" s="101" t="s">
        <v>472</v>
      </c>
      <c r="D5" s="101"/>
      <c r="E5" s="101"/>
    </row>
    <row r="6" spans="2:9" ht="12.75" customHeight="1" x14ac:dyDescent="0.2">
      <c r="B6" s="13" t="s">
        <v>66</v>
      </c>
      <c r="C6" s="115" t="s">
        <v>1888</v>
      </c>
      <c r="D6" s="115"/>
      <c r="E6" s="115"/>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45" t="s">
        <v>473</v>
      </c>
      <c r="C11" s="99" t="s">
        <v>481</v>
      </c>
      <c r="D11" s="99"/>
      <c r="E11" s="99"/>
      <c r="G11" s="4" t="s">
        <v>62</v>
      </c>
      <c r="H11" s="4" t="s">
        <v>61</v>
      </c>
      <c r="I11" s="4" t="s">
        <v>60</v>
      </c>
    </row>
    <row r="12" spans="2:9" ht="45" customHeight="1" x14ac:dyDescent="0.2">
      <c r="B12" s="45" t="s">
        <v>474</v>
      </c>
      <c r="C12" s="99" t="s">
        <v>482</v>
      </c>
      <c r="D12" s="99"/>
      <c r="E12" s="99"/>
      <c r="G12" s="19">
        <v>1</v>
      </c>
      <c r="H12" s="46" t="s">
        <v>488</v>
      </c>
      <c r="I12" s="19" t="s">
        <v>497</v>
      </c>
    </row>
    <row r="13" spans="2:9" ht="62.25" customHeight="1" x14ac:dyDescent="0.2">
      <c r="B13" s="45" t="s">
        <v>475</v>
      </c>
      <c r="C13" s="99" t="s">
        <v>483</v>
      </c>
      <c r="D13" s="99"/>
      <c r="E13" s="99"/>
      <c r="G13" s="19">
        <v>2</v>
      </c>
      <c r="H13" s="46" t="s">
        <v>489</v>
      </c>
      <c r="I13" s="19" t="s">
        <v>498</v>
      </c>
    </row>
    <row r="14" spans="2:9" ht="54.75" customHeight="1" x14ac:dyDescent="0.2">
      <c r="B14" s="45" t="s">
        <v>476</v>
      </c>
      <c r="C14" s="99" t="s">
        <v>484</v>
      </c>
      <c r="D14" s="99"/>
      <c r="E14" s="99"/>
      <c r="G14" s="19">
        <v>3</v>
      </c>
      <c r="H14" s="46" t="s">
        <v>490</v>
      </c>
      <c r="I14" s="19" t="s">
        <v>499</v>
      </c>
    </row>
    <row r="15" spans="2:9" ht="54.75" customHeight="1" x14ac:dyDescent="0.2">
      <c r="B15" s="45" t="s">
        <v>477</v>
      </c>
      <c r="C15" s="99" t="s">
        <v>485</v>
      </c>
      <c r="D15" s="99"/>
      <c r="E15" s="99"/>
      <c r="G15" s="19">
        <v>4</v>
      </c>
      <c r="H15" s="46" t="s">
        <v>491</v>
      </c>
      <c r="I15" s="19" t="s">
        <v>500</v>
      </c>
    </row>
    <row r="16" spans="2:9" ht="54.75" customHeight="1" x14ac:dyDescent="0.2">
      <c r="B16" s="45" t="s">
        <v>478</v>
      </c>
      <c r="C16" s="99" t="s">
        <v>486</v>
      </c>
      <c r="D16" s="99"/>
      <c r="E16" s="99"/>
      <c r="G16" s="19">
        <v>5</v>
      </c>
      <c r="H16" s="46" t="s">
        <v>492</v>
      </c>
      <c r="I16" s="19" t="s">
        <v>501</v>
      </c>
    </row>
    <row r="17" spans="2:9" ht="54.75" customHeight="1" x14ac:dyDescent="0.2">
      <c r="B17" s="45" t="s">
        <v>479</v>
      </c>
      <c r="C17" s="99" t="s">
        <v>1887</v>
      </c>
      <c r="D17" s="99"/>
      <c r="E17" s="99"/>
      <c r="G17" s="19">
        <v>6</v>
      </c>
      <c r="H17" s="46" t="s">
        <v>493</v>
      </c>
      <c r="I17" s="19" t="s">
        <v>502</v>
      </c>
    </row>
    <row r="18" spans="2:9" ht="54.75" customHeight="1" x14ac:dyDescent="0.2">
      <c r="B18" s="45" t="s">
        <v>480</v>
      </c>
      <c r="C18" s="99" t="s">
        <v>487</v>
      </c>
      <c r="D18" s="99"/>
      <c r="E18" s="99"/>
      <c r="G18" s="19">
        <v>7</v>
      </c>
      <c r="H18" s="46" t="s">
        <v>494</v>
      </c>
      <c r="I18" s="19" t="s">
        <v>503</v>
      </c>
    </row>
    <row r="19" spans="2:9" ht="30" x14ac:dyDescent="0.2">
      <c r="G19" s="19">
        <v>8</v>
      </c>
      <c r="H19" s="46" t="s">
        <v>495</v>
      </c>
      <c r="I19" s="19" t="s">
        <v>504</v>
      </c>
    </row>
    <row r="20" spans="2:9" ht="12.75" customHeight="1" x14ac:dyDescent="0.2">
      <c r="B20" s="134" t="s">
        <v>58</v>
      </c>
      <c r="C20" s="135"/>
      <c r="D20" s="135"/>
      <c r="E20" s="135"/>
      <c r="G20" s="19">
        <v>9</v>
      </c>
      <c r="H20" s="46" t="s">
        <v>496</v>
      </c>
      <c r="I20" s="19" t="s">
        <v>505</v>
      </c>
    </row>
    <row r="21" spans="2:9" ht="15" x14ac:dyDescent="0.2">
      <c r="B21" s="4" t="s">
        <v>57</v>
      </c>
      <c r="C21" s="4" t="s">
        <v>56</v>
      </c>
      <c r="D21" s="4" t="s">
        <v>57</v>
      </c>
      <c r="E21" s="4" t="s">
        <v>56</v>
      </c>
      <c r="G21" s="19"/>
      <c r="H21" s="19"/>
      <c r="I21" s="19"/>
    </row>
    <row r="22" spans="2:9" ht="30" x14ac:dyDescent="0.2">
      <c r="B22" s="45" t="s">
        <v>506</v>
      </c>
      <c r="C22" s="46" t="s">
        <v>519</v>
      </c>
      <c r="D22" s="45" t="s">
        <v>24</v>
      </c>
      <c r="E22" s="46" t="s">
        <v>514</v>
      </c>
      <c r="G22" s="19"/>
      <c r="H22" s="19"/>
      <c r="I22" s="19"/>
    </row>
    <row r="23" spans="2:9" ht="45" x14ac:dyDescent="0.2">
      <c r="B23" s="45" t="s">
        <v>507</v>
      </c>
      <c r="C23" s="46" t="s">
        <v>520</v>
      </c>
      <c r="D23" s="45" t="s">
        <v>26</v>
      </c>
      <c r="E23" s="46" t="s">
        <v>515</v>
      </c>
      <c r="G23" s="19"/>
      <c r="H23" s="19"/>
      <c r="I23" s="19"/>
    </row>
    <row r="24" spans="2:9" ht="45" x14ac:dyDescent="0.2">
      <c r="B24" s="45" t="s">
        <v>508</v>
      </c>
      <c r="C24" s="46" t="s">
        <v>521</v>
      </c>
      <c r="D24" s="45" t="s">
        <v>513</v>
      </c>
      <c r="E24" s="46" t="s">
        <v>516</v>
      </c>
      <c r="G24" s="18"/>
      <c r="H24" s="6"/>
      <c r="I24" s="6"/>
    </row>
    <row r="25" spans="2:9" ht="30" x14ac:dyDescent="0.2">
      <c r="B25" s="45" t="s">
        <v>509</v>
      </c>
      <c r="C25" s="46" t="s">
        <v>522</v>
      </c>
      <c r="D25" s="45" t="s">
        <v>5</v>
      </c>
      <c r="E25" s="46" t="s">
        <v>517</v>
      </c>
      <c r="G25" s="18"/>
      <c r="H25" s="6"/>
      <c r="I25" s="6"/>
    </row>
    <row r="26" spans="2:9" ht="30" x14ac:dyDescent="0.2">
      <c r="B26" s="45" t="s">
        <v>510</v>
      </c>
      <c r="C26" s="86" t="s">
        <v>1885</v>
      </c>
      <c r="D26" s="45" t="s">
        <v>23</v>
      </c>
      <c r="E26" s="46" t="s">
        <v>518</v>
      </c>
      <c r="G26" s="18"/>
      <c r="H26" s="6"/>
      <c r="I26" s="6"/>
    </row>
    <row r="27" spans="2:9" ht="15" x14ac:dyDescent="0.2">
      <c r="B27" s="45" t="s">
        <v>511</v>
      </c>
      <c r="C27" s="47" t="s">
        <v>523</v>
      </c>
      <c r="G27" s="6"/>
      <c r="H27" s="6"/>
      <c r="I27" s="6"/>
    </row>
    <row r="28" spans="2:9" ht="45" x14ac:dyDescent="0.2">
      <c r="B28" s="45" t="s">
        <v>512</v>
      </c>
      <c r="C28" s="86" t="s">
        <v>1886</v>
      </c>
      <c r="G28" s="6"/>
      <c r="H28" s="6"/>
      <c r="I28" s="6"/>
    </row>
    <row r="29" spans="2:9" ht="45" x14ac:dyDescent="0.2">
      <c r="B29" s="45" t="s">
        <v>27</v>
      </c>
      <c r="C29" s="46" t="s">
        <v>524</v>
      </c>
      <c r="G29" s="6"/>
      <c r="H29" s="6"/>
      <c r="I29" s="6"/>
    </row>
    <row r="30" spans="2:9" ht="30" x14ac:dyDescent="0.2">
      <c r="B30" s="45" t="s">
        <v>55</v>
      </c>
      <c r="C30" s="46" t="s">
        <v>525</v>
      </c>
      <c r="G30" s="6"/>
      <c r="H30" s="6"/>
      <c r="I30" s="6"/>
    </row>
    <row r="32" spans="2:9" ht="17" x14ac:dyDescent="0.2">
      <c r="B32" s="16" t="s">
        <v>54</v>
      </c>
      <c r="G32" s="16" t="s">
        <v>53</v>
      </c>
    </row>
    <row r="34" spans="2:23" ht="12.75" customHeight="1" x14ac:dyDescent="0.2">
      <c r="B34" s="98" t="s">
        <v>52</v>
      </c>
      <c r="C34" s="98"/>
      <c r="D34" s="98"/>
      <c r="E34" s="98"/>
      <c r="G34" s="98" t="s">
        <v>51</v>
      </c>
      <c r="H34" s="98"/>
      <c r="I34" s="98"/>
      <c r="J34" s="98"/>
    </row>
    <row r="35" spans="2:23" ht="60" customHeight="1" x14ac:dyDescent="0.2">
      <c r="B35" s="6" t="s">
        <v>50</v>
      </c>
      <c r="C35" s="99"/>
      <c r="D35" s="99"/>
      <c r="E35" s="99"/>
      <c r="G35" s="6" t="s">
        <v>49</v>
      </c>
      <c r="H35" s="99" t="s">
        <v>526</v>
      </c>
      <c r="I35" s="99"/>
      <c r="J35" s="99"/>
    </row>
    <row r="36" spans="2:23" ht="65.5" customHeight="1" x14ac:dyDescent="0.2">
      <c r="B36" s="6" t="s">
        <v>48</v>
      </c>
      <c r="C36" s="99"/>
      <c r="D36" s="99"/>
      <c r="E36" s="99"/>
      <c r="G36" s="6" t="s">
        <v>47</v>
      </c>
      <c r="H36" s="99" t="s">
        <v>527</v>
      </c>
      <c r="I36" s="99"/>
      <c r="J36" s="99"/>
    </row>
    <row r="37" spans="2:23" ht="53.5" customHeight="1" x14ac:dyDescent="0.2">
      <c r="B37" s="6" t="s">
        <v>46</v>
      </c>
      <c r="C37" s="100"/>
      <c r="D37" s="100"/>
      <c r="E37" s="100"/>
      <c r="G37" s="6" t="s">
        <v>45</v>
      </c>
      <c r="H37" s="100" t="s">
        <v>528</v>
      </c>
      <c r="I37" s="100"/>
      <c r="J37" s="100"/>
    </row>
    <row r="38" spans="2:23" ht="67" customHeight="1" x14ac:dyDescent="0.2">
      <c r="B38" s="6" t="s">
        <v>44</v>
      </c>
      <c r="C38" s="101"/>
      <c r="D38" s="101"/>
      <c r="E38" s="101"/>
      <c r="G38" s="6" t="s">
        <v>43</v>
      </c>
      <c r="H38" s="101" t="s">
        <v>529</v>
      </c>
      <c r="I38" s="101"/>
      <c r="J38" s="101"/>
    </row>
    <row r="39" spans="2:23" ht="67" customHeight="1" x14ac:dyDescent="0.2">
      <c r="C39" s="17"/>
      <c r="D39" s="17"/>
      <c r="E39" s="17"/>
      <c r="G39" s="6" t="s">
        <v>42</v>
      </c>
      <c r="H39" s="125" t="s">
        <v>530</v>
      </c>
      <c r="I39" s="126"/>
      <c r="J39" s="127"/>
    </row>
    <row r="41" spans="2:23" ht="68" x14ac:dyDescent="0.2">
      <c r="B41" s="16" t="s">
        <v>41</v>
      </c>
      <c r="P41" s="16" t="s">
        <v>40</v>
      </c>
      <c r="Q41" s="1"/>
      <c r="R41" s="1"/>
      <c r="S41" s="1"/>
      <c r="T41" s="1"/>
      <c r="U41" s="1"/>
      <c r="V41" s="1"/>
      <c r="W41" s="1"/>
    </row>
    <row r="42" spans="2:23" x14ac:dyDescent="0.2">
      <c r="P42" s="1"/>
      <c r="Q42" s="1"/>
      <c r="R42" s="1"/>
      <c r="S42" s="1"/>
      <c r="T42" s="1"/>
      <c r="U42" s="1"/>
      <c r="V42" s="1"/>
      <c r="W42" s="1"/>
    </row>
    <row r="43" spans="2:23" ht="30" x14ac:dyDescent="0.2">
      <c r="B43" s="15" t="s">
        <v>39</v>
      </c>
      <c r="C43" s="15" t="s">
        <v>38</v>
      </c>
      <c r="D43" s="15">
        <v>2</v>
      </c>
      <c r="E43" s="15">
        <v>3</v>
      </c>
      <c r="F43" s="15">
        <v>4</v>
      </c>
      <c r="G43" s="15">
        <v>5</v>
      </c>
      <c r="H43" s="15">
        <v>6</v>
      </c>
      <c r="I43" s="15">
        <v>7</v>
      </c>
      <c r="J43" s="15">
        <v>8</v>
      </c>
      <c r="K43" s="15">
        <v>9</v>
      </c>
      <c r="L43" s="15">
        <v>10</v>
      </c>
      <c r="P43" s="15" t="s">
        <v>39</v>
      </c>
      <c r="Q43" s="15" t="s">
        <v>38</v>
      </c>
      <c r="R43" s="15">
        <v>2</v>
      </c>
      <c r="S43" s="15">
        <v>3</v>
      </c>
      <c r="T43" s="15">
        <v>4</v>
      </c>
      <c r="U43" s="15">
        <v>5</v>
      </c>
      <c r="V43" s="15">
        <v>6</v>
      </c>
      <c r="W43" s="15">
        <v>7</v>
      </c>
    </row>
    <row r="44" spans="2:23" ht="123" customHeight="1" x14ac:dyDescent="0.2">
      <c r="B44" s="5" t="s">
        <v>37</v>
      </c>
      <c r="C44" s="5" t="s">
        <v>531</v>
      </c>
      <c r="D44" s="5" t="s">
        <v>532</v>
      </c>
      <c r="E44" s="5" t="s">
        <v>533</v>
      </c>
      <c r="F44" s="5" t="s">
        <v>534</v>
      </c>
      <c r="G44" s="5" t="s">
        <v>535</v>
      </c>
      <c r="H44" s="5" t="s">
        <v>536</v>
      </c>
      <c r="I44" s="5" t="s">
        <v>537</v>
      </c>
      <c r="J44" s="5" t="s">
        <v>538</v>
      </c>
      <c r="K44" s="5" t="s">
        <v>539</v>
      </c>
      <c r="L44" s="5" t="s">
        <v>540</v>
      </c>
      <c r="P44" s="5" t="s">
        <v>37</v>
      </c>
      <c r="Q44" s="85" t="s">
        <v>1705</v>
      </c>
      <c r="R44" s="85" t="s">
        <v>1706</v>
      </c>
      <c r="S44" s="84" t="s">
        <v>1707</v>
      </c>
      <c r="T44" s="85" t="s">
        <v>1708</v>
      </c>
      <c r="U44" s="14"/>
      <c r="V44" s="14"/>
      <c r="W44" s="14"/>
    </row>
    <row r="45" spans="2:23" ht="165" x14ac:dyDescent="0.2">
      <c r="B45" s="13" t="s">
        <v>36</v>
      </c>
      <c r="C45" s="43" t="s">
        <v>541</v>
      </c>
      <c r="D45" s="43" t="s">
        <v>542</v>
      </c>
      <c r="E45" s="43" t="s">
        <v>543</v>
      </c>
      <c r="F45" s="43" t="s">
        <v>544</v>
      </c>
      <c r="G45" s="43" t="s">
        <v>545</v>
      </c>
      <c r="H45" s="43" t="s">
        <v>546</v>
      </c>
      <c r="I45" s="43" t="s">
        <v>547</v>
      </c>
      <c r="J45" s="43" t="s">
        <v>548</v>
      </c>
      <c r="K45" s="43" t="s">
        <v>549</v>
      </c>
      <c r="L45" s="43" t="s">
        <v>550</v>
      </c>
      <c r="P45" s="13" t="s">
        <v>36</v>
      </c>
      <c r="Q45" s="6" t="s">
        <v>1709</v>
      </c>
      <c r="R45" s="6" t="s">
        <v>1710</v>
      </c>
      <c r="S45" s="6" t="s">
        <v>1711</v>
      </c>
      <c r="T45" s="6" t="s">
        <v>1712</v>
      </c>
      <c r="U45" s="6"/>
      <c r="V45" s="6"/>
      <c r="W45" s="6"/>
    </row>
    <row r="46" spans="2:23" ht="15" x14ac:dyDescent="0.2">
      <c r="B46" s="13" t="s">
        <v>9</v>
      </c>
      <c r="C46" s="44" t="s">
        <v>551</v>
      </c>
      <c r="D46" s="44" t="s">
        <v>16</v>
      </c>
      <c r="E46" s="44" t="s">
        <v>18</v>
      </c>
      <c r="F46" s="44" t="s">
        <v>19</v>
      </c>
      <c r="G46" s="44" t="s">
        <v>18</v>
      </c>
      <c r="H46" s="44" t="s">
        <v>16</v>
      </c>
      <c r="I46" s="44" t="s">
        <v>16</v>
      </c>
      <c r="J46" s="44" t="s">
        <v>19</v>
      </c>
      <c r="K46" s="44" t="s">
        <v>21</v>
      </c>
      <c r="L46" s="44" t="s">
        <v>16</v>
      </c>
      <c r="P46" s="13" t="s">
        <v>9</v>
      </c>
      <c r="Q46" s="6" t="s">
        <v>21</v>
      </c>
      <c r="R46" s="7" t="s">
        <v>18</v>
      </c>
      <c r="S46" s="6" t="s">
        <v>19</v>
      </c>
      <c r="T46" s="6" t="s">
        <v>18</v>
      </c>
      <c r="U46" s="6"/>
      <c r="V46" s="6"/>
      <c r="W46" s="7"/>
    </row>
    <row r="47" spans="2:23" ht="15" x14ac:dyDescent="0.2">
      <c r="B47" s="13" t="s">
        <v>28</v>
      </c>
      <c r="C47" s="44" t="s">
        <v>20</v>
      </c>
      <c r="D47" s="44" t="s">
        <v>142</v>
      </c>
      <c r="E47" s="44" t="s">
        <v>16</v>
      </c>
      <c r="F47" s="44" t="s">
        <v>179</v>
      </c>
      <c r="G47" s="44" t="s">
        <v>18</v>
      </c>
      <c r="H47" s="44" t="s">
        <v>440</v>
      </c>
      <c r="I47" s="44" t="s">
        <v>142</v>
      </c>
      <c r="J47" s="44" t="s">
        <v>179</v>
      </c>
      <c r="K47" s="44" t="s">
        <v>179</v>
      </c>
      <c r="L47" s="44" t="s">
        <v>18</v>
      </c>
      <c r="P47" s="13" t="s">
        <v>28</v>
      </c>
      <c r="Q47" s="6" t="s">
        <v>179</v>
      </c>
      <c r="R47" s="8" t="s">
        <v>18</v>
      </c>
      <c r="S47" s="6" t="s">
        <v>179</v>
      </c>
      <c r="T47" s="6" t="s">
        <v>18</v>
      </c>
      <c r="U47" s="7"/>
      <c r="V47" s="6"/>
      <c r="W47" s="6"/>
    </row>
    <row r="48" spans="2:23" ht="30" x14ac:dyDescent="0.2">
      <c r="B48" s="13" t="s">
        <v>35</v>
      </c>
      <c r="C48" s="44" t="s">
        <v>189</v>
      </c>
      <c r="D48" s="44" t="s">
        <v>20</v>
      </c>
      <c r="E48" s="44" t="s">
        <v>16</v>
      </c>
      <c r="F48" s="44" t="s">
        <v>189</v>
      </c>
      <c r="G48" s="44" t="s">
        <v>20</v>
      </c>
      <c r="H48" s="44" t="s">
        <v>16</v>
      </c>
      <c r="I48" s="44" t="s">
        <v>16</v>
      </c>
      <c r="J48" s="44" t="s">
        <v>18</v>
      </c>
      <c r="K48" s="44" t="s">
        <v>189</v>
      </c>
      <c r="L48" s="44" t="s">
        <v>189</v>
      </c>
      <c r="P48" s="13" t="s">
        <v>35</v>
      </c>
      <c r="Q48" s="7" t="s">
        <v>1689</v>
      </c>
      <c r="R48" s="6" t="s">
        <v>16</v>
      </c>
      <c r="S48" s="6" t="s">
        <v>140</v>
      </c>
      <c r="T48" s="6" t="s">
        <v>140</v>
      </c>
      <c r="U48" s="6"/>
      <c r="V48" s="6"/>
      <c r="W48" s="6"/>
    </row>
    <row r="49" spans="2:23" ht="30" x14ac:dyDescent="0.2">
      <c r="B49" s="13" t="s">
        <v>26</v>
      </c>
      <c r="C49" s="44" t="s">
        <v>16</v>
      </c>
      <c r="D49" s="44" t="s">
        <v>16</v>
      </c>
      <c r="E49" s="44" t="s">
        <v>16</v>
      </c>
      <c r="F49" s="44" t="s">
        <v>18</v>
      </c>
      <c r="G49" s="44" t="s">
        <v>18</v>
      </c>
      <c r="H49" s="44" t="s">
        <v>16</v>
      </c>
      <c r="I49" s="44" t="s">
        <v>16</v>
      </c>
      <c r="J49" s="43" t="s">
        <v>1866</v>
      </c>
      <c r="K49" s="44" t="s">
        <v>16</v>
      </c>
      <c r="L49" s="44" t="s">
        <v>16</v>
      </c>
      <c r="P49" s="13" t="s">
        <v>26</v>
      </c>
      <c r="Q49" s="7" t="s">
        <v>140</v>
      </c>
      <c r="R49" s="6" t="s">
        <v>140</v>
      </c>
      <c r="S49" s="6" t="s">
        <v>1631</v>
      </c>
      <c r="T49" s="6" t="s">
        <v>140</v>
      </c>
      <c r="U49" s="6"/>
      <c r="V49" s="7"/>
      <c r="W49" s="6"/>
    </row>
    <row r="50" spans="2:23" ht="30" x14ac:dyDescent="0.2">
      <c r="B50" s="13" t="s">
        <v>25</v>
      </c>
      <c r="C50" s="44" t="s">
        <v>21</v>
      </c>
      <c r="D50" s="44" t="s">
        <v>142</v>
      </c>
      <c r="E50" s="44" t="s">
        <v>21</v>
      </c>
      <c r="F50" s="44" t="s">
        <v>21</v>
      </c>
      <c r="G50" s="44" t="s">
        <v>21</v>
      </c>
      <c r="H50" s="44" t="s">
        <v>21</v>
      </c>
      <c r="I50" s="44" t="s">
        <v>142</v>
      </c>
      <c r="J50" s="44" t="s">
        <v>21</v>
      </c>
      <c r="K50" s="44" t="s">
        <v>21</v>
      </c>
      <c r="L50" s="44" t="s">
        <v>21</v>
      </c>
      <c r="P50" s="13" t="s">
        <v>25</v>
      </c>
      <c r="Q50" s="7" t="s">
        <v>21</v>
      </c>
      <c r="R50" s="6" t="s">
        <v>1657</v>
      </c>
      <c r="S50" s="6" t="s">
        <v>21</v>
      </c>
      <c r="T50" s="6" t="s">
        <v>21</v>
      </c>
      <c r="U50" s="7"/>
      <c r="V50" s="6"/>
      <c r="W50" s="6"/>
    </row>
    <row r="51" spans="2:23" ht="30" x14ac:dyDescent="0.2">
      <c r="B51" s="13" t="s">
        <v>34</v>
      </c>
      <c r="C51" s="44" t="s">
        <v>21</v>
      </c>
      <c r="D51" s="44" t="s">
        <v>141</v>
      </c>
      <c r="E51" s="44" t="s">
        <v>18</v>
      </c>
      <c r="F51" s="44" t="s">
        <v>21</v>
      </c>
      <c r="G51" s="44" t="s">
        <v>21</v>
      </c>
      <c r="H51" s="44" t="s">
        <v>21</v>
      </c>
      <c r="I51" s="44" t="s">
        <v>322</v>
      </c>
      <c r="J51" s="44" t="s">
        <v>21</v>
      </c>
      <c r="K51" s="44" t="s">
        <v>21</v>
      </c>
      <c r="L51" s="44" t="s">
        <v>322</v>
      </c>
      <c r="P51" s="13" t="s">
        <v>34</v>
      </c>
      <c r="Q51" s="7" t="s">
        <v>141</v>
      </c>
      <c r="R51" s="6" t="s">
        <v>141</v>
      </c>
      <c r="S51" s="6" t="s">
        <v>141</v>
      </c>
      <c r="T51" s="6" t="s">
        <v>1657</v>
      </c>
      <c r="U51" s="7"/>
      <c r="V51" s="7"/>
      <c r="W51" s="6"/>
    </row>
    <row r="52" spans="2:23" ht="15" x14ac:dyDescent="0.2">
      <c r="B52" s="13" t="s">
        <v>5</v>
      </c>
      <c r="C52" s="44" t="s">
        <v>20</v>
      </c>
      <c r="D52" s="44" t="s">
        <v>20</v>
      </c>
      <c r="E52" s="44" t="s">
        <v>20</v>
      </c>
      <c r="F52" s="44" t="s">
        <v>20</v>
      </c>
      <c r="G52" s="44" t="s">
        <v>20</v>
      </c>
      <c r="H52" s="44" t="s">
        <v>20</v>
      </c>
      <c r="I52" s="44" t="s">
        <v>20</v>
      </c>
      <c r="J52" s="44" t="s">
        <v>552</v>
      </c>
      <c r="K52" s="44" t="s">
        <v>20</v>
      </c>
      <c r="L52" s="44" t="s">
        <v>20</v>
      </c>
      <c r="P52" s="13" t="s">
        <v>5</v>
      </c>
      <c r="Q52" s="7" t="s">
        <v>19</v>
      </c>
      <c r="R52" s="6" t="s">
        <v>20</v>
      </c>
      <c r="S52" s="6" t="s">
        <v>18</v>
      </c>
      <c r="T52" s="6" t="s">
        <v>20</v>
      </c>
      <c r="U52" s="6"/>
      <c r="V52" s="6"/>
      <c r="W52" s="6"/>
    </row>
    <row r="53" spans="2:23" ht="30" x14ac:dyDescent="0.2">
      <c r="B53" s="13" t="s">
        <v>23</v>
      </c>
      <c r="C53" s="44" t="s">
        <v>142</v>
      </c>
      <c r="D53" s="44" t="s">
        <v>142</v>
      </c>
      <c r="E53" s="44" t="s">
        <v>142</v>
      </c>
      <c r="F53" s="44" t="s">
        <v>142</v>
      </c>
      <c r="G53" s="44" t="s">
        <v>142</v>
      </c>
      <c r="H53" s="44" t="s">
        <v>142</v>
      </c>
      <c r="I53" s="44" t="s">
        <v>142</v>
      </c>
      <c r="J53" s="44" t="s">
        <v>142</v>
      </c>
      <c r="K53" s="44" t="s">
        <v>142</v>
      </c>
      <c r="L53" s="44" t="s">
        <v>142</v>
      </c>
      <c r="P53" s="13" t="s">
        <v>23</v>
      </c>
      <c r="Q53" s="7" t="s">
        <v>18</v>
      </c>
      <c r="R53" s="6" t="s">
        <v>20</v>
      </c>
      <c r="S53" s="6" t="s">
        <v>20</v>
      </c>
      <c r="T53" s="6" t="s">
        <v>20</v>
      </c>
      <c r="U53" s="7"/>
      <c r="V53" s="6"/>
      <c r="W53" s="7"/>
    </row>
    <row r="54" spans="2:23" ht="154.5" customHeight="1" x14ac:dyDescent="0.2">
      <c r="B54" s="13" t="s">
        <v>33</v>
      </c>
      <c r="C54" s="43" t="s">
        <v>553</v>
      </c>
      <c r="D54" s="43" t="s">
        <v>554</v>
      </c>
      <c r="E54" s="43" t="s">
        <v>555</v>
      </c>
      <c r="F54" s="43" t="s">
        <v>556</v>
      </c>
      <c r="G54" s="43" t="s">
        <v>557</v>
      </c>
      <c r="H54" s="43" t="s">
        <v>558</v>
      </c>
      <c r="I54" s="43" t="s">
        <v>559</v>
      </c>
      <c r="J54" s="43" t="s">
        <v>560</v>
      </c>
      <c r="K54" s="43" t="s">
        <v>561</v>
      </c>
      <c r="L54" s="43" t="s">
        <v>562</v>
      </c>
      <c r="P54" s="13" t="s">
        <v>33</v>
      </c>
      <c r="Q54" s="6" t="s">
        <v>1713</v>
      </c>
      <c r="R54" s="6" t="s">
        <v>1714</v>
      </c>
      <c r="S54" s="6" t="s">
        <v>1715</v>
      </c>
      <c r="T54" s="6" t="s">
        <v>1716</v>
      </c>
      <c r="U54" s="7"/>
      <c r="V54" s="7"/>
      <c r="W54" s="6"/>
    </row>
    <row r="55" spans="2:23" ht="23.5" customHeight="1" x14ac:dyDescent="0.2">
      <c r="B55" s="12"/>
      <c r="G55" s="11"/>
      <c r="H55" s="11"/>
    </row>
    <row r="56" spans="2:23" ht="23.5" customHeight="1" x14ac:dyDescent="0.2">
      <c r="B56" s="12"/>
      <c r="G56" s="11"/>
      <c r="H56" s="11"/>
    </row>
    <row r="58" spans="2:23" ht="12.75" customHeight="1" x14ac:dyDescent="0.2">
      <c r="B58" s="96" t="s">
        <v>32</v>
      </c>
      <c r="C58" s="96"/>
      <c r="D58" s="96"/>
      <c r="E58" s="96"/>
      <c r="F58" s="96"/>
      <c r="G58" s="96"/>
      <c r="H58" s="96"/>
      <c r="I58" s="96"/>
      <c r="J58" s="96"/>
      <c r="L58" s="96" t="s">
        <v>31</v>
      </c>
      <c r="M58" s="96"/>
      <c r="N58" s="96"/>
      <c r="O58" s="96"/>
      <c r="P58" s="96"/>
      <c r="Q58" s="96"/>
      <c r="R58" s="96"/>
      <c r="S58" s="96"/>
      <c r="T58" s="96"/>
    </row>
    <row r="59" spans="2:23" ht="30" x14ac:dyDescent="0.2">
      <c r="B59" s="4" t="s">
        <v>10</v>
      </c>
      <c r="C59" s="4" t="s">
        <v>9</v>
      </c>
      <c r="D59" s="4" t="s">
        <v>28</v>
      </c>
      <c r="E59" s="4" t="s">
        <v>27</v>
      </c>
      <c r="F59" s="4" t="s">
        <v>26</v>
      </c>
      <c r="G59" s="4" t="s">
        <v>25</v>
      </c>
      <c r="H59" s="4" t="s">
        <v>24</v>
      </c>
      <c r="I59" s="4" t="s">
        <v>5</v>
      </c>
      <c r="J59" s="4" t="s">
        <v>23</v>
      </c>
      <c r="L59" s="4" t="s">
        <v>10</v>
      </c>
      <c r="M59" s="4" t="s">
        <v>9</v>
      </c>
      <c r="N59" s="4" t="s">
        <v>28</v>
      </c>
      <c r="O59" s="4" t="s">
        <v>27</v>
      </c>
      <c r="P59" s="4" t="s">
        <v>26</v>
      </c>
      <c r="Q59" s="4" t="s">
        <v>25</v>
      </c>
      <c r="R59" s="4" t="s">
        <v>24</v>
      </c>
      <c r="S59" s="4" t="s">
        <v>5</v>
      </c>
      <c r="T59" s="4" t="s">
        <v>23</v>
      </c>
    </row>
    <row r="60" spans="2:23" ht="45" x14ac:dyDescent="0.2">
      <c r="B60" s="45" t="s">
        <v>563</v>
      </c>
      <c r="C60" s="47" t="s">
        <v>189</v>
      </c>
      <c r="D60" s="47" t="s">
        <v>20</v>
      </c>
      <c r="E60" s="47" t="s">
        <v>189</v>
      </c>
      <c r="F60" s="47" t="s">
        <v>16</v>
      </c>
      <c r="G60" s="47" t="s">
        <v>21</v>
      </c>
      <c r="H60" s="47" t="s">
        <v>21</v>
      </c>
      <c r="I60" s="47" t="s">
        <v>20</v>
      </c>
      <c r="J60" s="3" t="s">
        <v>142</v>
      </c>
      <c r="L60" s="3" t="s">
        <v>1717</v>
      </c>
      <c r="M60" s="3" t="s">
        <v>21</v>
      </c>
      <c r="N60" s="3" t="s">
        <v>179</v>
      </c>
      <c r="O60" s="3" t="s">
        <v>1865</v>
      </c>
      <c r="P60" s="28" t="s">
        <v>140</v>
      </c>
      <c r="Q60" s="28" t="s">
        <v>21</v>
      </c>
      <c r="R60" s="28" t="s">
        <v>141</v>
      </c>
      <c r="S60" s="28" t="s">
        <v>19</v>
      </c>
      <c r="T60" s="28" t="s">
        <v>18</v>
      </c>
    </row>
    <row r="61" spans="2:23" ht="30" x14ac:dyDescent="0.2">
      <c r="B61" s="45" t="s">
        <v>532</v>
      </c>
      <c r="C61" s="47" t="s">
        <v>16</v>
      </c>
      <c r="D61" s="47" t="s">
        <v>142</v>
      </c>
      <c r="E61" s="47" t="s">
        <v>20</v>
      </c>
      <c r="F61" s="47" t="s">
        <v>16</v>
      </c>
      <c r="G61" s="47" t="s">
        <v>142</v>
      </c>
      <c r="H61" s="47" t="s">
        <v>141</v>
      </c>
      <c r="I61" s="47" t="s">
        <v>20</v>
      </c>
      <c r="J61" s="3" t="s">
        <v>142</v>
      </c>
      <c r="L61" s="3" t="s">
        <v>1718</v>
      </c>
      <c r="M61" s="3" t="s">
        <v>18</v>
      </c>
      <c r="N61" s="3" t="s">
        <v>18</v>
      </c>
      <c r="O61" s="3" t="s">
        <v>16</v>
      </c>
      <c r="P61" s="28" t="s">
        <v>140</v>
      </c>
      <c r="Q61" s="28" t="s">
        <v>1874</v>
      </c>
      <c r="R61" s="28" t="s">
        <v>141</v>
      </c>
      <c r="S61" s="28" t="s">
        <v>20</v>
      </c>
      <c r="T61" s="28" t="s">
        <v>20</v>
      </c>
    </row>
    <row r="62" spans="2:23" ht="30" x14ac:dyDescent="0.2">
      <c r="B62" s="45" t="s">
        <v>564</v>
      </c>
      <c r="C62" s="47" t="s">
        <v>18</v>
      </c>
      <c r="D62" s="47" t="s">
        <v>140</v>
      </c>
      <c r="E62" s="47" t="s">
        <v>16</v>
      </c>
      <c r="F62" s="47" t="s">
        <v>16</v>
      </c>
      <c r="G62" s="47" t="s">
        <v>21</v>
      </c>
      <c r="H62" s="47" t="s">
        <v>21</v>
      </c>
      <c r="I62" s="47" t="s">
        <v>20</v>
      </c>
      <c r="J62" s="3" t="s">
        <v>142</v>
      </c>
      <c r="L62" s="3" t="s">
        <v>1719</v>
      </c>
      <c r="M62" s="3" t="s">
        <v>19</v>
      </c>
      <c r="N62" s="3" t="s">
        <v>179</v>
      </c>
      <c r="O62" s="3" t="s">
        <v>140</v>
      </c>
      <c r="P62" s="28" t="s">
        <v>1697</v>
      </c>
      <c r="Q62" s="28" t="s">
        <v>21</v>
      </c>
      <c r="R62" s="28" t="s">
        <v>141</v>
      </c>
      <c r="S62" s="28" t="s">
        <v>18</v>
      </c>
      <c r="T62" s="28" t="s">
        <v>20</v>
      </c>
    </row>
    <row r="63" spans="2:23" ht="30" x14ac:dyDescent="0.2">
      <c r="B63" s="45" t="s">
        <v>565</v>
      </c>
      <c r="C63" s="47" t="s">
        <v>19</v>
      </c>
      <c r="D63" s="47" t="s">
        <v>179</v>
      </c>
      <c r="E63" s="47" t="s">
        <v>189</v>
      </c>
      <c r="F63" s="47" t="s">
        <v>16</v>
      </c>
      <c r="G63" s="47" t="s">
        <v>21</v>
      </c>
      <c r="H63" s="47" t="s">
        <v>21</v>
      </c>
      <c r="I63" s="47" t="s">
        <v>20</v>
      </c>
      <c r="J63" s="3" t="s">
        <v>142</v>
      </c>
      <c r="L63" s="3" t="s">
        <v>1720</v>
      </c>
      <c r="M63" s="3" t="s">
        <v>18</v>
      </c>
      <c r="N63" s="3" t="s">
        <v>18</v>
      </c>
      <c r="O63" s="3" t="s">
        <v>140</v>
      </c>
      <c r="P63" s="28" t="s">
        <v>140</v>
      </c>
      <c r="Q63" s="28" t="s">
        <v>21</v>
      </c>
      <c r="R63" s="28" t="s">
        <v>1874</v>
      </c>
      <c r="S63" s="28" t="s">
        <v>20</v>
      </c>
      <c r="T63" s="28" t="s">
        <v>20</v>
      </c>
    </row>
    <row r="64" spans="2:23" ht="15" x14ac:dyDescent="0.2">
      <c r="B64" s="45" t="s">
        <v>566</v>
      </c>
      <c r="C64" s="47" t="s">
        <v>18</v>
      </c>
      <c r="D64" s="47" t="s">
        <v>18</v>
      </c>
      <c r="E64" s="47" t="s">
        <v>20</v>
      </c>
      <c r="F64" s="47" t="s">
        <v>16</v>
      </c>
      <c r="G64" s="47" t="s">
        <v>21</v>
      </c>
      <c r="H64" s="47" t="s">
        <v>21</v>
      </c>
      <c r="I64" s="47" t="s">
        <v>20</v>
      </c>
      <c r="J64" s="3" t="s">
        <v>142</v>
      </c>
      <c r="L64" s="3"/>
      <c r="M64" s="3"/>
      <c r="N64" s="3"/>
      <c r="O64" s="3"/>
      <c r="P64" s="3"/>
      <c r="Q64" s="3"/>
      <c r="R64" s="3"/>
      <c r="S64" s="3"/>
      <c r="T64" s="3"/>
    </row>
    <row r="65" spans="2:20" ht="15" x14ac:dyDescent="0.2">
      <c r="B65" s="45" t="s">
        <v>536</v>
      </c>
      <c r="C65" s="47" t="s">
        <v>16</v>
      </c>
      <c r="D65" s="47" t="s">
        <v>440</v>
      </c>
      <c r="E65" s="47" t="s">
        <v>16</v>
      </c>
      <c r="F65" s="47" t="s">
        <v>16</v>
      </c>
      <c r="G65" s="47" t="s">
        <v>21</v>
      </c>
      <c r="H65" s="47" t="s">
        <v>21</v>
      </c>
      <c r="I65" s="47" t="s">
        <v>20</v>
      </c>
      <c r="J65" s="3" t="s">
        <v>142</v>
      </c>
      <c r="L65" s="3"/>
      <c r="M65" s="3"/>
      <c r="N65" s="3"/>
      <c r="O65" s="3"/>
      <c r="P65" s="3"/>
      <c r="Q65" s="3"/>
      <c r="R65" s="3"/>
      <c r="S65" s="3"/>
      <c r="T65" s="3"/>
    </row>
    <row r="66" spans="2:20" ht="15" x14ac:dyDescent="0.2">
      <c r="B66" s="45" t="s">
        <v>567</v>
      </c>
      <c r="C66" s="47" t="s">
        <v>16</v>
      </c>
      <c r="D66" s="47" t="s">
        <v>142</v>
      </c>
      <c r="E66" s="47" t="s">
        <v>16</v>
      </c>
      <c r="F66" s="47" t="s">
        <v>16</v>
      </c>
      <c r="G66" s="47" t="s">
        <v>142</v>
      </c>
      <c r="H66" s="47" t="s">
        <v>322</v>
      </c>
      <c r="I66" s="47" t="s">
        <v>20</v>
      </c>
      <c r="J66" s="3" t="s">
        <v>142</v>
      </c>
      <c r="L66" s="3"/>
      <c r="M66" s="3"/>
      <c r="N66" s="3"/>
      <c r="O66" s="3"/>
      <c r="P66" s="3"/>
      <c r="Q66" s="3"/>
      <c r="R66" s="3"/>
      <c r="S66" s="3"/>
      <c r="T66" s="3"/>
    </row>
    <row r="67" spans="2:20" ht="15" x14ac:dyDescent="0.2">
      <c r="B67" s="45" t="s">
        <v>568</v>
      </c>
      <c r="C67" s="47" t="s">
        <v>19</v>
      </c>
      <c r="D67" s="47" t="s">
        <v>179</v>
      </c>
      <c r="E67" s="47" t="s">
        <v>569</v>
      </c>
      <c r="F67" s="47" t="s">
        <v>16</v>
      </c>
      <c r="G67" s="47" t="s">
        <v>21</v>
      </c>
      <c r="H67" s="47" t="s">
        <v>21</v>
      </c>
      <c r="I67" s="47" t="s">
        <v>189</v>
      </c>
      <c r="J67" s="3" t="s">
        <v>142</v>
      </c>
      <c r="L67" s="3"/>
      <c r="M67" s="3"/>
      <c r="N67" s="3"/>
      <c r="O67" s="3"/>
      <c r="P67" s="3"/>
      <c r="Q67" s="3"/>
      <c r="R67" s="3"/>
      <c r="S67" s="3"/>
      <c r="T67" s="3"/>
    </row>
    <row r="68" spans="2:20" x14ac:dyDescent="0.2">
      <c r="B68" s="3"/>
      <c r="C68" s="3"/>
      <c r="D68" s="3"/>
      <c r="E68" s="3"/>
      <c r="F68" s="3"/>
      <c r="G68" s="3"/>
      <c r="H68" s="3"/>
      <c r="I68" s="3"/>
      <c r="J68" s="3"/>
      <c r="L68" s="3"/>
      <c r="M68" s="3"/>
      <c r="N68" s="3"/>
      <c r="O68" s="3"/>
      <c r="P68" s="3"/>
      <c r="Q68" s="3"/>
      <c r="R68" s="3"/>
      <c r="S68" s="3"/>
      <c r="T68" s="3"/>
    </row>
    <row r="69" spans="2:20" x14ac:dyDescent="0.2">
      <c r="B69" s="3"/>
      <c r="C69" s="3"/>
      <c r="D69" s="3"/>
      <c r="E69" s="3"/>
      <c r="F69" s="3"/>
      <c r="G69" s="3"/>
      <c r="H69" s="3"/>
      <c r="I69" s="3"/>
      <c r="J69" s="3"/>
      <c r="L69" s="3"/>
      <c r="M69" s="3"/>
      <c r="N69" s="3"/>
      <c r="O69" s="3"/>
      <c r="P69" s="3"/>
      <c r="Q69" s="3"/>
      <c r="R69" s="3"/>
      <c r="S69" s="3"/>
      <c r="T69" s="3"/>
    </row>
    <row r="70" spans="2:20" x14ac:dyDescent="0.2">
      <c r="B70" s="10"/>
      <c r="C70" s="10"/>
      <c r="D70" s="10"/>
      <c r="E70" s="10"/>
      <c r="F70" s="10"/>
      <c r="G70" s="10"/>
      <c r="H70" s="10"/>
      <c r="I70" s="10"/>
      <c r="J70" s="10"/>
    </row>
    <row r="72" spans="2:20" ht="12.75" customHeight="1" x14ac:dyDescent="0.2">
      <c r="B72" s="96" t="s">
        <v>30</v>
      </c>
      <c r="C72" s="96"/>
      <c r="D72" s="96"/>
      <c r="E72" s="96"/>
      <c r="F72" s="96"/>
      <c r="G72" s="96"/>
      <c r="H72" s="96"/>
      <c r="I72" s="96"/>
      <c r="J72" s="96"/>
    </row>
    <row r="73" spans="2:20" ht="15" x14ac:dyDescent="0.2">
      <c r="B73" s="4" t="s">
        <v>29</v>
      </c>
      <c r="C73" s="4" t="s">
        <v>9</v>
      </c>
      <c r="D73" s="4" t="s">
        <v>28</v>
      </c>
      <c r="E73" s="4" t="s">
        <v>27</v>
      </c>
      <c r="F73" s="4" t="s">
        <v>26</v>
      </c>
      <c r="G73" s="4" t="s">
        <v>25</v>
      </c>
      <c r="H73" s="4" t="s">
        <v>24</v>
      </c>
      <c r="I73" s="4" t="s">
        <v>5</v>
      </c>
      <c r="J73" s="4" t="s">
        <v>23</v>
      </c>
    </row>
    <row r="74" spans="2:20" ht="15" x14ac:dyDescent="0.2">
      <c r="B74" s="45" t="s">
        <v>22</v>
      </c>
      <c r="C74" s="47" t="s">
        <v>570</v>
      </c>
      <c r="D74" s="47" t="s">
        <v>571</v>
      </c>
      <c r="E74" s="47" t="s">
        <v>21</v>
      </c>
      <c r="F74" s="47" t="s">
        <v>18</v>
      </c>
      <c r="G74" s="47" t="s">
        <v>21</v>
      </c>
      <c r="H74" s="47" t="s">
        <v>18</v>
      </c>
      <c r="I74" s="47" t="s">
        <v>572</v>
      </c>
      <c r="J74" s="3" t="s">
        <v>16</v>
      </c>
    </row>
    <row r="75" spans="2:20" ht="15" x14ac:dyDescent="0.2">
      <c r="B75" s="45" t="s">
        <v>573</v>
      </c>
      <c r="C75" s="47" t="s">
        <v>350</v>
      </c>
      <c r="D75" s="47" t="s">
        <v>574</v>
      </c>
      <c r="E75" s="47" t="s">
        <v>21</v>
      </c>
      <c r="F75" s="47" t="s">
        <v>21</v>
      </c>
      <c r="G75" s="47" t="s">
        <v>21</v>
      </c>
      <c r="H75" s="47" t="s">
        <v>18</v>
      </c>
      <c r="I75" s="47" t="s">
        <v>575</v>
      </c>
      <c r="J75" s="3" t="s">
        <v>16</v>
      </c>
    </row>
    <row r="76" spans="2:20" ht="30" x14ac:dyDescent="0.2">
      <c r="B76" s="45" t="s">
        <v>576</v>
      </c>
      <c r="C76" s="47" t="s">
        <v>16</v>
      </c>
      <c r="D76" s="47" t="s">
        <v>571</v>
      </c>
      <c r="E76" s="47" t="s">
        <v>1867</v>
      </c>
      <c r="F76" s="47" t="s">
        <v>356</v>
      </c>
      <c r="G76" s="47" t="s">
        <v>21</v>
      </c>
      <c r="H76" s="47" t="s">
        <v>350</v>
      </c>
      <c r="I76" s="47" t="s">
        <v>577</v>
      </c>
      <c r="J76" s="6" t="s">
        <v>16</v>
      </c>
    </row>
    <row r="77" spans="2:20" x14ac:dyDescent="0.2">
      <c r="B77" s="6"/>
      <c r="C77" s="7"/>
      <c r="D77" s="6"/>
      <c r="E77" s="6"/>
      <c r="F77" s="6"/>
      <c r="G77" s="6"/>
      <c r="H77" s="6"/>
      <c r="I77" s="6"/>
      <c r="J77" s="6"/>
    </row>
    <row r="78" spans="2:20" x14ac:dyDescent="0.2">
      <c r="B78" s="6"/>
      <c r="C78" s="9"/>
      <c r="D78" s="6"/>
      <c r="E78" s="6"/>
      <c r="F78" s="6"/>
      <c r="G78" s="6"/>
      <c r="H78" s="6"/>
      <c r="I78" s="6"/>
      <c r="J78" s="6"/>
    </row>
    <row r="79" spans="2:20" x14ac:dyDescent="0.2">
      <c r="B79" s="6"/>
      <c r="C79" s="8"/>
      <c r="D79" s="6"/>
      <c r="E79" s="6"/>
      <c r="F79" s="6"/>
      <c r="G79" s="6"/>
      <c r="H79" s="6"/>
      <c r="I79" s="6"/>
      <c r="J79" s="6"/>
    </row>
    <row r="80" spans="2:20" x14ac:dyDescent="0.2">
      <c r="B80" s="7"/>
      <c r="C80" s="7"/>
      <c r="D80" s="8"/>
      <c r="E80" s="7"/>
      <c r="F80" s="6"/>
      <c r="G80" s="6"/>
      <c r="H80" s="6"/>
      <c r="I80" s="6"/>
      <c r="J80" s="6"/>
    </row>
    <row r="81" spans="2:11" x14ac:dyDescent="0.2">
      <c r="B81" s="7"/>
      <c r="C81" s="8"/>
      <c r="D81" s="6"/>
      <c r="E81" s="6"/>
      <c r="F81" s="6"/>
      <c r="G81" s="6"/>
      <c r="H81" s="6"/>
      <c r="I81" s="6"/>
      <c r="J81" s="6"/>
    </row>
    <row r="82" spans="2:11" x14ac:dyDescent="0.2">
      <c r="B82" s="7"/>
      <c r="C82" s="7"/>
      <c r="D82" s="6"/>
      <c r="E82" s="6"/>
      <c r="F82" s="6"/>
      <c r="G82" s="6"/>
      <c r="H82" s="6"/>
      <c r="I82" s="6"/>
      <c r="J82" s="6"/>
    </row>
    <row r="84" spans="2:11" ht="12.75" customHeight="1" x14ac:dyDescent="0.2">
      <c r="B84" s="97" t="s">
        <v>15</v>
      </c>
      <c r="C84" s="97"/>
      <c r="D84" s="97"/>
      <c r="E84" s="97"/>
      <c r="F84" s="97"/>
      <c r="G84" s="97"/>
      <c r="H84" s="97"/>
    </row>
    <row r="85" spans="2:11" ht="13.75" customHeight="1" x14ac:dyDescent="0.2">
      <c r="B85" s="5" t="s">
        <v>10</v>
      </c>
      <c r="C85" s="5" t="s">
        <v>9</v>
      </c>
      <c r="D85" s="5" t="s">
        <v>14</v>
      </c>
      <c r="E85" s="5" t="s">
        <v>7</v>
      </c>
      <c r="F85" s="5" t="s">
        <v>13</v>
      </c>
      <c r="G85" s="5" t="s">
        <v>5</v>
      </c>
      <c r="H85" s="5" t="s">
        <v>12</v>
      </c>
      <c r="J85" s="91" t="s">
        <v>11</v>
      </c>
      <c r="K85" s="92"/>
    </row>
    <row r="86" spans="2:11" ht="13.75" customHeight="1" x14ac:dyDescent="0.2">
      <c r="B86" s="4" t="s">
        <v>10</v>
      </c>
      <c r="C86" s="4" t="s">
        <v>9</v>
      </c>
      <c r="D86" s="4" t="s">
        <v>8</v>
      </c>
      <c r="E86" s="4" t="s">
        <v>7</v>
      </c>
      <c r="F86" s="4" t="s">
        <v>6</v>
      </c>
      <c r="G86" s="4" t="s">
        <v>5</v>
      </c>
      <c r="H86" s="4" t="s">
        <v>4</v>
      </c>
      <c r="J86" s="91" t="s">
        <v>3</v>
      </c>
      <c r="K86" s="92"/>
    </row>
    <row r="87" spans="2:11" ht="13.75" customHeight="1" x14ac:dyDescent="0.2">
      <c r="B87" s="45" t="s">
        <v>536</v>
      </c>
      <c r="C87" s="47">
        <v>5</v>
      </c>
      <c r="D87" s="47">
        <v>4</v>
      </c>
      <c r="E87" s="47">
        <v>5</v>
      </c>
      <c r="F87" s="47">
        <v>4</v>
      </c>
      <c r="G87" s="47">
        <v>3</v>
      </c>
      <c r="H87" s="2"/>
      <c r="J87" s="91" t="s">
        <v>2</v>
      </c>
      <c r="K87" s="92"/>
    </row>
    <row r="88" spans="2:11" ht="13.75" customHeight="1" x14ac:dyDescent="0.2">
      <c r="B88" s="45" t="s">
        <v>532</v>
      </c>
      <c r="C88" s="47">
        <v>4</v>
      </c>
      <c r="D88" s="47">
        <v>4</v>
      </c>
      <c r="E88" s="47">
        <v>5</v>
      </c>
      <c r="F88" s="47">
        <v>3</v>
      </c>
      <c r="G88" s="47">
        <v>3</v>
      </c>
      <c r="H88" s="2"/>
      <c r="J88" s="91" t="s">
        <v>1</v>
      </c>
      <c r="K88" s="92"/>
    </row>
    <row r="89" spans="2:11" ht="30" x14ac:dyDescent="0.2">
      <c r="B89" s="45" t="s">
        <v>540</v>
      </c>
      <c r="C89" s="47">
        <v>4</v>
      </c>
      <c r="D89" s="47">
        <v>4</v>
      </c>
      <c r="E89" s="47">
        <v>4</v>
      </c>
      <c r="F89" s="47">
        <v>4</v>
      </c>
      <c r="G89" s="47">
        <v>3</v>
      </c>
      <c r="H89" s="2"/>
      <c r="J89" s="92" t="s">
        <v>0</v>
      </c>
      <c r="K89" s="92"/>
    </row>
    <row r="90" spans="2:11" ht="15" x14ac:dyDescent="0.2">
      <c r="B90" s="45" t="s">
        <v>531</v>
      </c>
      <c r="C90" s="47">
        <v>3</v>
      </c>
      <c r="D90" s="47">
        <v>4</v>
      </c>
      <c r="E90" s="47">
        <v>4</v>
      </c>
      <c r="F90" s="47">
        <v>3</v>
      </c>
      <c r="G90" s="47">
        <v>3</v>
      </c>
      <c r="H90" s="2"/>
    </row>
    <row r="91" spans="2:11" ht="15" x14ac:dyDescent="0.2">
      <c r="B91" s="45" t="s">
        <v>564</v>
      </c>
      <c r="C91" s="47">
        <v>3</v>
      </c>
      <c r="D91" s="47">
        <v>4</v>
      </c>
      <c r="E91" s="47">
        <v>4</v>
      </c>
      <c r="F91" s="47">
        <v>4</v>
      </c>
      <c r="G91" s="47">
        <v>3</v>
      </c>
      <c r="H91" s="2"/>
    </row>
    <row r="92" spans="2:11" ht="15" x14ac:dyDescent="0.2">
      <c r="B92" s="45" t="s">
        <v>566</v>
      </c>
      <c r="C92" s="47">
        <v>3</v>
      </c>
      <c r="D92" s="47">
        <v>4</v>
      </c>
      <c r="E92" s="47">
        <v>3</v>
      </c>
      <c r="F92" s="47">
        <v>3</v>
      </c>
      <c r="G92" s="47">
        <v>3</v>
      </c>
      <c r="H92" s="2"/>
    </row>
    <row r="93" spans="2:11" ht="15" x14ac:dyDescent="0.2">
      <c r="B93" s="45" t="s">
        <v>578</v>
      </c>
      <c r="C93" s="47">
        <v>2</v>
      </c>
      <c r="D93" s="47">
        <v>4</v>
      </c>
      <c r="E93" s="47">
        <v>3</v>
      </c>
      <c r="F93" s="47">
        <v>2</v>
      </c>
      <c r="G93" s="47">
        <v>3</v>
      </c>
      <c r="H93" s="2"/>
    </row>
    <row r="94" spans="2:11" ht="20.75" customHeight="1" x14ac:dyDescent="0.2">
      <c r="B94" s="45" t="s">
        <v>565</v>
      </c>
      <c r="C94" s="47">
        <v>2</v>
      </c>
      <c r="D94" s="47">
        <v>4</v>
      </c>
      <c r="E94" s="47">
        <v>3</v>
      </c>
      <c r="F94" s="47">
        <v>1</v>
      </c>
      <c r="G94" s="47">
        <v>3</v>
      </c>
      <c r="H94" s="2"/>
    </row>
    <row r="95" spans="2:11" ht="20.75" customHeight="1" x14ac:dyDescent="0.2">
      <c r="B95" s="3"/>
      <c r="C95" s="3"/>
      <c r="D95" s="3"/>
      <c r="E95" s="3"/>
      <c r="F95" s="3"/>
      <c r="G95" s="3"/>
      <c r="H95" s="2"/>
    </row>
    <row r="96" spans="2:11" ht="20.75" customHeight="1" x14ac:dyDescent="0.2">
      <c r="B96" s="3"/>
      <c r="C96" s="3"/>
      <c r="D96" s="3"/>
      <c r="E96" s="3"/>
      <c r="F96" s="3"/>
      <c r="G96" s="3"/>
      <c r="H96" s="2"/>
    </row>
    <row r="97" spans="1:14" ht="20.75" customHeight="1" x14ac:dyDescent="0.2"/>
    <row r="98" spans="1:14" ht="29.5" customHeight="1" x14ac:dyDescent="0.2"/>
    <row r="102" spans="1:14" x14ac:dyDescent="0.2">
      <c r="A102" s="90" t="s">
        <v>1616</v>
      </c>
      <c r="B102" s="88"/>
      <c r="C102" s="88"/>
      <c r="D102" s="88"/>
      <c r="E102" s="88"/>
      <c r="F102" s="88"/>
      <c r="G102" s="88"/>
      <c r="H102" s="88"/>
      <c r="I102" s="88"/>
      <c r="J102" s="88"/>
      <c r="K102" s="88"/>
      <c r="L102" s="88"/>
      <c r="M102" s="88"/>
      <c r="N102" s="89"/>
    </row>
    <row r="103" spans="1:14" x14ac:dyDescent="0.2">
      <c r="A103" s="87" t="s">
        <v>1575</v>
      </c>
      <c r="B103" s="88"/>
      <c r="C103" s="88"/>
      <c r="D103" s="88"/>
      <c r="E103" s="88"/>
      <c r="F103" s="88"/>
      <c r="G103" s="88"/>
      <c r="H103" s="88"/>
      <c r="I103" s="88"/>
      <c r="J103" s="88"/>
      <c r="K103" s="88"/>
      <c r="L103" s="88"/>
      <c r="M103" s="88"/>
      <c r="N103" s="89"/>
    </row>
    <row r="104" spans="1:14" x14ac:dyDescent="0.2">
      <c r="A104" s="87" t="s">
        <v>1576</v>
      </c>
      <c r="B104" s="88"/>
      <c r="C104" s="88"/>
      <c r="D104" s="88"/>
      <c r="E104" s="88"/>
      <c r="F104" s="88"/>
      <c r="G104" s="88"/>
      <c r="H104" s="88"/>
      <c r="I104" s="88"/>
      <c r="J104" s="88"/>
      <c r="K104" s="88"/>
      <c r="L104" s="88"/>
      <c r="M104" s="88"/>
      <c r="N104" s="89"/>
    </row>
    <row r="105" spans="1:14" x14ac:dyDescent="0.2">
      <c r="A105" s="87" t="s">
        <v>1577</v>
      </c>
      <c r="B105" s="88"/>
      <c r="C105" s="88"/>
      <c r="D105" s="88"/>
      <c r="E105" s="88"/>
      <c r="F105" s="88"/>
      <c r="G105" s="88"/>
      <c r="H105" s="88"/>
      <c r="I105" s="88"/>
      <c r="J105" s="88"/>
      <c r="K105" s="88"/>
      <c r="L105" s="88"/>
      <c r="M105" s="88"/>
      <c r="N105" s="89"/>
    </row>
  </sheetData>
  <mergeCells count="42">
    <mergeCell ref="B1:E1"/>
    <mergeCell ref="C2:E2"/>
    <mergeCell ref="C3:E3"/>
    <mergeCell ref="C4:E4"/>
    <mergeCell ref="C5:E5"/>
    <mergeCell ref="B34:E34"/>
    <mergeCell ref="G34:J34"/>
    <mergeCell ref="C6:E6"/>
    <mergeCell ref="C7:E7"/>
    <mergeCell ref="B10:E10"/>
    <mergeCell ref="A103:N103"/>
    <mergeCell ref="A104:N104"/>
    <mergeCell ref="L58:T58"/>
    <mergeCell ref="G10:I10"/>
    <mergeCell ref="C11:E11"/>
    <mergeCell ref="C12:E12"/>
    <mergeCell ref="C14:E14"/>
    <mergeCell ref="C15:E15"/>
    <mergeCell ref="C16:E16"/>
    <mergeCell ref="C17:E17"/>
    <mergeCell ref="C18:E18"/>
    <mergeCell ref="C13:E13"/>
    <mergeCell ref="C37:E37"/>
    <mergeCell ref="H37:J37"/>
    <mergeCell ref="C38:E38"/>
    <mergeCell ref="H38:J38"/>
    <mergeCell ref="A105:N105"/>
    <mergeCell ref="B20:E20"/>
    <mergeCell ref="J86:K86"/>
    <mergeCell ref="J87:K87"/>
    <mergeCell ref="J88:K88"/>
    <mergeCell ref="J89:K89"/>
    <mergeCell ref="H39:J39"/>
    <mergeCell ref="B58:J58"/>
    <mergeCell ref="B72:J72"/>
    <mergeCell ref="B84:H84"/>
    <mergeCell ref="J85:K85"/>
    <mergeCell ref="C36:E36"/>
    <mergeCell ref="H36:J36"/>
    <mergeCell ref="C35:E35"/>
    <mergeCell ref="H35:J35"/>
    <mergeCell ref="A102:N102"/>
  </mergeCells>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9CF0-BA31-45DA-BC3B-B2B6654BA9D7}">
  <dimension ref="A1:V113"/>
  <sheetViews>
    <sheetView topLeftCell="A36" zoomScale="117" workbookViewId="0">
      <selection activeCell="C42" sqref="C42:E42"/>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86</v>
      </c>
      <c r="D2" s="101"/>
      <c r="E2" s="101"/>
    </row>
    <row r="3" spans="2:9" ht="12.75" customHeight="1" x14ac:dyDescent="0.2">
      <c r="B3" s="13" t="s">
        <v>69</v>
      </c>
      <c r="C3" s="125" t="s">
        <v>579</v>
      </c>
      <c r="D3" s="126"/>
      <c r="E3" s="127"/>
    </row>
    <row r="4" spans="2:9" ht="12.75" customHeight="1" x14ac:dyDescent="0.2">
      <c r="B4" s="13" t="s">
        <v>68</v>
      </c>
      <c r="C4" s="101" t="s">
        <v>580</v>
      </c>
      <c r="D4" s="101"/>
      <c r="E4" s="101"/>
    </row>
    <row r="5" spans="2:9" ht="12.75" customHeight="1" x14ac:dyDescent="0.2">
      <c r="B5" s="13" t="s">
        <v>67</v>
      </c>
      <c r="C5" s="101" t="s">
        <v>581</v>
      </c>
      <c r="D5" s="101"/>
      <c r="E5" s="101"/>
    </row>
    <row r="6" spans="2:9" ht="12.75" customHeight="1" x14ac:dyDescent="0.2">
      <c r="B6" s="13" t="s">
        <v>66</v>
      </c>
      <c r="C6" s="101" t="s">
        <v>582</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45" t="s">
        <v>583</v>
      </c>
      <c r="C11" s="99" t="s">
        <v>590</v>
      </c>
      <c r="D11" s="99"/>
      <c r="E11" s="99"/>
      <c r="G11" s="4" t="s">
        <v>62</v>
      </c>
      <c r="H11" s="4" t="s">
        <v>61</v>
      </c>
      <c r="I11" s="4" t="s">
        <v>60</v>
      </c>
    </row>
    <row r="12" spans="2:9" ht="45" customHeight="1" x14ac:dyDescent="0.2">
      <c r="B12" s="45" t="s">
        <v>584</v>
      </c>
      <c r="C12" s="99" t="s">
        <v>591</v>
      </c>
      <c r="D12" s="99"/>
      <c r="E12" s="99"/>
      <c r="G12" s="19">
        <v>1</v>
      </c>
      <c r="H12" s="43" t="s">
        <v>597</v>
      </c>
      <c r="I12" s="48" t="s">
        <v>604</v>
      </c>
    </row>
    <row r="13" spans="2:9" ht="62.25" customHeight="1" x14ac:dyDescent="0.2">
      <c r="B13" s="45" t="s">
        <v>585</v>
      </c>
      <c r="C13" s="99" t="s">
        <v>592</v>
      </c>
      <c r="D13" s="99"/>
      <c r="E13" s="99"/>
      <c r="G13" s="19">
        <v>2</v>
      </c>
      <c r="H13" s="43" t="s">
        <v>598</v>
      </c>
      <c r="I13" s="49" t="s">
        <v>605</v>
      </c>
    </row>
    <row r="14" spans="2:9" ht="54.75" customHeight="1" x14ac:dyDescent="0.2">
      <c r="B14" s="45" t="s">
        <v>586</v>
      </c>
      <c r="C14" s="99" t="s">
        <v>593</v>
      </c>
      <c r="D14" s="99"/>
      <c r="E14" s="99"/>
      <c r="G14" s="19">
        <v>3</v>
      </c>
      <c r="H14" s="43" t="s">
        <v>599</v>
      </c>
      <c r="I14" s="49" t="s">
        <v>606</v>
      </c>
    </row>
    <row r="15" spans="2:9" ht="54.75" customHeight="1" x14ac:dyDescent="0.2">
      <c r="B15" s="45" t="s">
        <v>587</v>
      </c>
      <c r="C15" s="99" t="s">
        <v>594</v>
      </c>
      <c r="D15" s="99"/>
      <c r="E15" s="99"/>
      <c r="G15" s="19">
        <v>4</v>
      </c>
      <c r="H15" s="43" t="s">
        <v>600</v>
      </c>
      <c r="I15" s="49" t="s">
        <v>607</v>
      </c>
    </row>
    <row r="16" spans="2:9" ht="54.75" customHeight="1" x14ac:dyDescent="0.2">
      <c r="B16" s="45" t="s">
        <v>588</v>
      </c>
      <c r="C16" s="99" t="s">
        <v>595</v>
      </c>
      <c r="D16" s="99"/>
      <c r="E16" s="99"/>
      <c r="G16" s="19">
        <v>5</v>
      </c>
      <c r="H16" s="43" t="s">
        <v>601</v>
      </c>
      <c r="I16" s="49" t="s">
        <v>608</v>
      </c>
    </row>
    <row r="17" spans="2:9" ht="54.75" customHeight="1" x14ac:dyDescent="0.2">
      <c r="B17" s="45" t="s">
        <v>589</v>
      </c>
      <c r="C17" s="99" t="s">
        <v>596</v>
      </c>
      <c r="D17" s="99"/>
      <c r="E17" s="99"/>
      <c r="G17" s="19">
        <v>6</v>
      </c>
      <c r="H17" s="43" t="s">
        <v>602</v>
      </c>
      <c r="I17" s="49" t="s">
        <v>609</v>
      </c>
    </row>
    <row r="18" spans="2:9" ht="54.75" customHeight="1" x14ac:dyDescent="0.2">
      <c r="B18" s="12"/>
      <c r="C18" s="21"/>
      <c r="D18" s="21"/>
      <c r="E18" s="21"/>
      <c r="G18" s="19">
        <v>7</v>
      </c>
      <c r="H18" s="43" t="s">
        <v>603</v>
      </c>
      <c r="I18" s="49" t="s">
        <v>610</v>
      </c>
    </row>
    <row r="19" spans="2:9" ht="54.75" customHeight="1" x14ac:dyDescent="0.2">
      <c r="B19" s="12"/>
      <c r="C19" s="21"/>
      <c r="D19" s="21"/>
      <c r="E19" s="21"/>
      <c r="G19" s="19">
        <v>8</v>
      </c>
      <c r="H19" s="19"/>
      <c r="I19" s="19"/>
    </row>
    <row r="20" spans="2:9" x14ac:dyDescent="0.2">
      <c r="G20" s="19">
        <v>9</v>
      </c>
      <c r="H20" s="19"/>
      <c r="I20" s="19"/>
    </row>
    <row r="21" spans="2:9" ht="12.75" customHeight="1" x14ac:dyDescent="0.2">
      <c r="B21" s="96" t="s">
        <v>58</v>
      </c>
      <c r="C21" s="96"/>
      <c r="G21" s="19">
        <v>10</v>
      </c>
      <c r="H21" s="19"/>
      <c r="I21" s="19"/>
    </row>
    <row r="22" spans="2:9" ht="15" x14ac:dyDescent="0.2">
      <c r="B22" s="4" t="s">
        <v>57</v>
      </c>
      <c r="C22" s="4" t="s">
        <v>56</v>
      </c>
      <c r="G22" s="19">
        <v>11</v>
      </c>
      <c r="H22" s="19"/>
      <c r="I22" s="19"/>
    </row>
    <row r="23" spans="2:9" ht="15" x14ac:dyDescent="0.2">
      <c r="B23" s="3" t="s">
        <v>9</v>
      </c>
      <c r="C23" s="3" t="s">
        <v>19</v>
      </c>
      <c r="G23" s="19">
        <v>12</v>
      </c>
      <c r="H23" s="19"/>
      <c r="I23" s="19"/>
    </row>
    <row r="24" spans="2:9" ht="15" x14ac:dyDescent="0.2">
      <c r="B24" s="3" t="s">
        <v>28</v>
      </c>
      <c r="C24" s="3" t="s">
        <v>21</v>
      </c>
      <c r="G24" s="19">
        <v>8</v>
      </c>
      <c r="H24" s="19"/>
      <c r="I24" s="19"/>
    </row>
    <row r="25" spans="2:9" ht="30" x14ac:dyDescent="0.2">
      <c r="B25" s="3" t="s">
        <v>27</v>
      </c>
      <c r="C25" s="3" t="s">
        <v>611</v>
      </c>
      <c r="G25" s="18"/>
      <c r="H25" s="6"/>
      <c r="I25" s="6"/>
    </row>
    <row r="26" spans="2:9" ht="15" x14ac:dyDescent="0.2">
      <c r="B26" s="3" t="s">
        <v>55</v>
      </c>
      <c r="C26" s="3" t="s">
        <v>18</v>
      </c>
      <c r="G26" s="18"/>
      <c r="H26" s="6"/>
      <c r="I26" s="6"/>
    </row>
    <row r="27" spans="2:9" ht="30" x14ac:dyDescent="0.2">
      <c r="B27" s="3" t="s">
        <v>24</v>
      </c>
      <c r="C27" s="3" t="s">
        <v>615</v>
      </c>
      <c r="G27" s="18"/>
      <c r="H27" s="6"/>
      <c r="I27" s="6"/>
    </row>
    <row r="28" spans="2:9" ht="45" x14ac:dyDescent="0.2">
      <c r="B28" s="3" t="s">
        <v>26</v>
      </c>
      <c r="C28" s="3" t="s">
        <v>612</v>
      </c>
      <c r="G28" s="6"/>
      <c r="H28" s="6"/>
      <c r="I28" s="6"/>
    </row>
    <row r="29" spans="2:9" ht="30" x14ac:dyDescent="0.2">
      <c r="B29" s="3" t="s">
        <v>25</v>
      </c>
      <c r="C29" s="3" t="s">
        <v>613</v>
      </c>
      <c r="G29" s="6"/>
      <c r="H29" s="6"/>
      <c r="I29" s="6"/>
    </row>
    <row r="30" spans="2:9" ht="30" x14ac:dyDescent="0.2">
      <c r="B30" s="3" t="s">
        <v>5</v>
      </c>
      <c r="C30" s="3" t="s">
        <v>614</v>
      </c>
      <c r="G30" s="6"/>
      <c r="H30" s="6"/>
      <c r="I30" s="6"/>
    </row>
    <row r="31" spans="2:9" ht="45" x14ac:dyDescent="0.2">
      <c r="B31" s="3" t="s">
        <v>23</v>
      </c>
      <c r="C31" s="3" t="s">
        <v>616</v>
      </c>
      <c r="G31" s="6"/>
      <c r="H31" s="6"/>
      <c r="I31" s="6"/>
    </row>
    <row r="33" spans="2:22" ht="17" x14ac:dyDescent="0.2">
      <c r="B33" s="16" t="s">
        <v>54</v>
      </c>
      <c r="G33" s="16" t="s">
        <v>53</v>
      </c>
    </row>
    <row r="35" spans="2:22" ht="12.75" customHeight="1" x14ac:dyDescent="0.2">
      <c r="B35" s="98" t="s">
        <v>52</v>
      </c>
      <c r="C35" s="98"/>
      <c r="D35" s="98"/>
      <c r="E35" s="98"/>
      <c r="G35" s="98" t="s">
        <v>51</v>
      </c>
      <c r="H35" s="98"/>
      <c r="I35" s="98"/>
      <c r="J35" s="98"/>
    </row>
    <row r="36" spans="2:22" ht="60" customHeight="1" x14ac:dyDescent="0.2">
      <c r="B36" s="45" t="s">
        <v>50</v>
      </c>
      <c r="C36" s="99" t="s">
        <v>622</v>
      </c>
      <c r="D36" s="99"/>
      <c r="E36" s="99"/>
      <c r="G36" s="6" t="s">
        <v>49</v>
      </c>
      <c r="H36" s="99"/>
      <c r="I36" s="99"/>
      <c r="J36" s="99"/>
    </row>
    <row r="37" spans="2:22" ht="65.5" customHeight="1" x14ac:dyDescent="0.2">
      <c r="B37" s="45" t="s">
        <v>617</v>
      </c>
      <c r="C37" s="99" t="s">
        <v>623</v>
      </c>
      <c r="D37" s="99"/>
      <c r="E37" s="99"/>
      <c r="G37" s="6" t="s">
        <v>47</v>
      </c>
      <c r="H37" s="99"/>
      <c r="I37" s="99"/>
      <c r="J37" s="99"/>
    </row>
    <row r="38" spans="2:22" ht="53.5" customHeight="1" x14ac:dyDescent="0.2">
      <c r="B38" s="45" t="s">
        <v>618</v>
      </c>
      <c r="C38" s="100" t="s">
        <v>624</v>
      </c>
      <c r="D38" s="100"/>
      <c r="E38" s="100"/>
      <c r="G38" s="6" t="s">
        <v>45</v>
      </c>
      <c r="H38" s="100"/>
      <c r="I38" s="100"/>
      <c r="J38" s="100"/>
    </row>
    <row r="39" spans="2:22" ht="67" customHeight="1" x14ac:dyDescent="0.2">
      <c r="B39" s="45" t="s">
        <v>619</v>
      </c>
      <c r="C39" s="101" t="s">
        <v>625</v>
      </c>
      <c r="D39" s="101"/>
      <c r="E39" s="101"/>
      <c r="G39" s="6" t="s">
        <v>43</v>
      </c>
      <c r="H39" s="101"/>
      <c r="I39" s="101"/>
      <c r="J39" s="101"/>
    </row>
    <row r="40" spans="2:22" ht="67" customHeight="1" x14ac:dyDescent="0.2">
      <c r="B40" s="45" t="s">
        <v>46</v>
      </c>
      <c r="C40" s="101" t="s">
        <v>626</v>
      </c>
      <c r="D40" s="101"/>
      <c r="E40" s="101"/>
      <c r="G40" s="6" t="s">
        <v>42</v>
      </c>
      <c r="H40" s="30"/>
      <c r="I40" s="31"/>
      <c r="J40" s="32"/>
    </row>
    <row r="41" spans="2:22" ht="67" customHeight="1" x14ac:dyDescent="0.2">
      <c r="B41" s="45" t="s">
        <v>620</v>
      </c>
      <c r="C41" s="101" t="s">
        <v>627</v>
      </c>
      <c r="D41" s="101"/>
      <c r="E41" s="101"/>
      <c r="G41" s="6"/>
      <c r="H41" s="30"/>
      <c r="I41" s="31"/>
      <c r="J41" s="32"/>
    </row>
    <row r="42" spans="2:22" ht="67" customHeight="1" x14ac:dyDescent="0.2">
      <c r="B42" s="45" t="s">
        <v>43</v>
      </c>
      <c r="C42" s="101" t="s">
        <v>628</v>
      </c>
      <c r="D42" s="101"/>
      <c r="E42" s="101"/>
      <c r="G42" s="6"/>
      <c r="H42" s="30"/>
      <c r="I42" s="31"/>
      <c r="J42" s="32"/>
    </row>
    <row r="43" spans="2:22" ht="67" customHeight="1" x14ac:dyDescent="0.2">
      <c r="B43" s="45" t="s">
        <v>621</v>
      </c>
      <c r="C43" s="101" t="s">
        <v>1891</v>
      </c>
      <c r="D43" s="101"/>
      <c r="E43" s="101"/>
      <c r="H43" s="93"/>
      <c r="I43" s="94"/>
      <c r="J43" s="95"/>
    </row>
    <row r="45" spans="2:22" ht="68" x14ac:dyDescent="0.2">
      <c r="B45" s="16" t="s">
        <v>41</v>
      </c>
      <c r="O45" s="16" t="s">
        <v>40</v>
      </c>
      <c r="P45" s="1"/>
      <c r="Q45" s="1"/>
      <c r="R45" s="1"/>
      <c r="S45" s="1"/>
      <c r="T45" s="1"/>
      <c r="U45" s="1"/>
      <c r="V45" s="1"/>
    </row>
    <row r="46" spans="2:22" x14ac:dyDescent="0.2">
      <c r="O46" s="1"/>
      <c r="P46" s="1"/>
      <c r="Q46" s="1"/>
      <c r="R46" s="1"/>
      <c r="S46" s="1"/>
      <c r="T46" s="1"/>
      <c r="U46" s="1"/>
      <c r="V46" s="1"/>
    </row>
    <row r="47" spans="2:22" ht="30" x14ac:dyDescent="0.2">
      <c r="B47" s="15" t="s">
        <v>39</v>
      </c>
      <c r="C47" s="15" t="s">
        <v>38</v>
      </c>
      <c r="D47" s="15">
        <v>2</v>
      </c>
      <c r="E47" s="15">
        <v>3</v>
      </c>
      <c r="F47" s="15">
        <v>4</v>
      </c>
      <c r="G47" s="15">
        <v>5</v>
      </c>
      <c r="H47" s="15">
        <v>6</v>
      </c>
      <c r="I47" s="15">
        <v>7</v>
      </c>
      <c r="J47" s="15">
        <v>8</v>
      </c>
      <c r="K47" s="15">
        <v>9</v>
      </c>
      <c r="L47" s="15"/>
      <c r="O47" s="15" t="s">
        <v>39</v>
      </c>
      <c r="P47" s="15" t="s">
        <v>38</v>
      </c>
      <c r="Q47" s="15">
        <v>2</v>
      </c>
      <c r="R47" s="15">
        <v>3</v>
      </c>
      <c r="S47" s="15">
        <v>4</v>
      </c>
      <c r="T47" s="15">
        <v>5</v>
      </c>
      <c r="U47" s="15">
        <v>6</v>
      </c>
      <c r="V47" s="15">
        <v>7</v>
      </c>
    </row>
    <row r="48" spans="2:22" ht="123" customHeight="1" x14ac:dyDescent="0.2">
      <c r="B48" s="5" t="s">
        <v>37</v>
      </c>
      <c r="C48" s="5" t="s">
        <v>629</v>
      </c>
      <c r="D48" s="5" t="s">
        <v>630</v>
      </c>
      <c r="E48" s="5" t="s">
        <v>679</v>
      </c>
      <c r="F48" s="5" t="s">
        <v>631</v>
      </c>
      <c r="G48" s="5" t="s">
        <v>632</v>
      </c>
      <c r="H48" s="5" t="s">
        <v>633</v>
      </c>
      <c r="I48" s="5" t="s">
        <v>634</v>
      </c>
      <c r="J48" s="5" t="s">
        <v>635</v>
      </c>
      <c r="K48" s="5" t="s">
        <v>636</v>
      </c>
      <c r="L48" s="5"/>
      <c r="O48" s="5" t="s">
        <v>37</v>
      </c>
      <c r="P48" s="85" t="s">
        <v>1721</v>
      </c>
      <c r="Q48" s="85" t="s">
        <v>1722</v>
      </c>
      <c r="R48" s="84" t="s">
        <v>1723</v>
      </c>
      <c r="S48" s="14"/>
      <c r="T48" s="14"/>
      <c r="U48" s="14"/>
      <c r="V48" s="14"/>
    </row>
    <row r="49" spans="2:22" ht="180" x14ac:dyDescent="0.2">
      <c r="B49" s="13" t="s">
        <v>36</v>
      </c>
      <c r="C49" s="46" t="s">
        <v>637</v>
      </c>
      <c r="D49" s="46" t="s">
        <v>638</v>
      </c>
      <c r="E49" s="46" t="s">
        <v>639</v>
      </c>
      <c r="F49" s="46" t="s">
        <v>640</v>
      </c>
      <c r="G49" s="46" t="s">
        <v>641</v>
      </c>
      <c r="H49" s="46" t="s">
        <v>642</v>
      </c>
      <c r="I49" s="46" t="s">
        <v>643</v>
      </c>
      <c r="J49" s="46" t="s">
        <v>644</v>
      </c>
      <c r="K49" s="46" t="s">
        <v>645</v>
      </c>
      <c r="L49" s="46"/>
      <c r="O49" s="13" t="s">
        <v>36</v>
      </c>
      <c r="P49" s="6" t="s">
        <v>1724</v>
      </c>
      <c r="Q49" s="6" t="s">
        <v>1725</v>
      </c>
      <c r="R49" s="6" t="s">
        <v>1726</v>
      </c>
      <c r="S49" s="6"/>
      <c r="T49" s="6"/>
      <c r="U49" s="6"/>
      <c r="V49" s="6"/>
    </row>
    <row r="50" spans="2:22" ht="30" x14ac:dyDescent="0.2">
      <c r="B50" s="13" t="s">
        <v>9</v>
      </c>
      <c r="C50" s="47" t="s">
        <v>16</v>
      </c>
      <c r="D50" s="46" t="s">
        <v>646</v>
      </c>
      <c r="E50" s="47" t="s">
        <v>16</v>
      </c>
      <c r="F50" s="46" t="s">
        <v>647</v>
      </c>
      <c r="G50" s="46" t="s">
        <v>648</v>
      </c>
      <c r="H50" s="46" t="s">
        <v>649</v>
      </c>
      <c r="I50" s="47" t="s">
        <v>315</v>
      </c>
      <c r="J50" s="47" t="s">
        <v>315</v>
      </c>
      <c r="K50" s="46" t="s">
        <v>649</v>
      </c>
      <c r="L50" s="28"/>
      <c r="O50" s="13" t="s">
        <v>9</v>
      </c>
      <c r="P50" s="6" t="s">
        <v>21</v>
      </c>
      <c r="Q50" s="7" t="s">
        <v>315</v>
      </c>
      <c r="R50" s="6" t="s">
        <v>18</v>
      </c>
      <c r="S50" s="6"/>
      <c r="T50" s="6"/>
      <c r="U50" s="6"/>
      <c r="V50" s="7"/>
    </row>
    <row r="51" spans="2:22" ht="15" x14ac:dyDescent="0.2">
      <c r="B51" s="13" t="s">
        <v>28</v>
      </c>
      <c r="C51" s="47" t="s">
        <v>440</v>
      </c>
      <c r="D51" s="46" t="s">
        <v>650</v>
      </c>
      <c r="E51" s="46" t="s">
        <v>651</v>
      </c>
      <c r="F51" s="47" t="s">
        <v>652</v>
      </c>
      <c r="G51" s="46" t="s">
        <v>653</v>
      </c>
      <c r="H51" s="46" t="s">
        <v>653</v>
      </c>
      <c r="I51" s="46" t="s">
        <v>654</v>
      </c>
      <c r="J51" s="47" t="s">
        <v>18</v>
      </c>
      <c r="K51" s="47" t="s">
        <v>181</v>
      </c>
      <c r="L51" s="28"/>
      <c r="O51" s="13" t="s">
        <v>28</v>
      </c>
      <c r="P51" s="6" t="s">
        <v>179</v>
      </c>
      <c r="Q51" s="8" t="s">
        <v>18</v>
      </c>
      <c r="R51" s="6" t="s">
        <v>18</v>
      </c>
      <c r="S51" s="6"/>
      <c r="T51" s="7"/>
      <c r="U51" s="6"/>
      <c r="V51" s="6"/>
    </row>
    <row r="52" spans="2:22" ht="15" x14ac:dyDescent="0.2">
      <c r="B52" s="13" t="s">
        <v>35</v>
      </c>
      <c r="C52" s="47" t="s">
        <v>20</v>
      </c>
      <c r="D52" s="47" t="s">
        <v>20</v>
      </c>
      <c r="E52" s="46" t="s">
        <v>655</v>
      </c>
      <c r="F52" s="46" t="s">
        <v>656</v>
      </c>
      <c r="G52" s="47" t="s">
        <v>20</v>
      </c>
      <c r="H52" s="47" t="s">
        <v>657</v>
      </c>
      <c r="I52" s="47" t="s">
        <v>20</v>
      </c>
      <c r="J52" s="47" t="s">
        <v>20</v>
      </c>
      <c r="K52" s="47" t="s">
        <v>20</v>
      </c>
      <c r="L52" s="28"/>
      <c r="O52" s="13" t="s">
        <v>35</v>
      </c>
      <c r="P52" s="7" t="s">
        <v>20</v>
      </c>
      <c r="Q52" s="6" t="s">
        <v>20</v>
      </c>
      <c r="R52" s="6" t="s">
        <v>20</v>
      </c>
      <c r="S52" s="6"/>
      <c r="T52" s="6"/>
      <c r="U52" s="6"/>
      <c r="V52" s="6"/>
    </row>
    <row r="53" spans="2:22" ht="30" x14ac:dyDescent="0.2">
      <c r="B53" s="13" t="s">
        <v>26</v>
      </c>
      <c r="C53" s="46" t="s">
        <v>672</v>
      </c>
      <c r="D53" s="47" t="s">
        <v>673</v>
      </c>
      <c r="E53" s="47" t="s">
        <v>674</v>
      </c>
      <c r="F53" s="47" t="s">
        <v>675</v>
      </c>
      <c r="G53" s="46" t="s">
        <v>676</v>
      </c>
      <c r="H53" s="46" t="s">
        <v>676</v>
      </c>
      <c r="I53" s="47" t="s">
        <v>140</v>
      </c>
      <c r="J53" s="47" t="s">
        <v>140</v>
      </c>
      <c r="K53" s="46" t="s">
        <v>677</v>
      </c>
      <c r="L53" s="28"/>
      <c r="O53" s="13" t="s">
        <v>26</v>
      </c>
      <c r="P53" s="7" t="s">
        <v>1631</v>
      </c>
      <c r="Q53" s="6" t="s">
        <v>1631</v>
      </c>
      <c r="R53" s="6" t="s">
        <v>140</v>
      </c>
      <c r="S53" s="6"/>
      <c r="T53" s="6"/>
      <c r="U53" s="7"/>
      <c r="V53" s="6"/>
    </row>
    <row r="54" spans="2:22" ht="15" x14ac:dyDescent="0.2">
      <c r="B54" s="13" t="s">
        <v>25</v>
      </c>
      <c r="C54" s="47" t="s">
        <v>658</v>
      </c>
      <c r="D54" s="46" t="s">
        <v>659</v>
      </c>
      <c r="E54" s="46" t="s">
        <v>660</v>
      </c>
      <c r="F54" s="47" t="s">
        <v>661</v>
      </c>
      <c r="G54" s="47" t="s">
        <v>21</v>
      </c>
      <c r="H54" s="47" t="s">
        <v>21</v>
      </c>
      <c r="I54" s="47" t="s">
        <v>21</v>
      </c>
      <c r="J54" s="47" t="s">
        <v>21</v>
      </c>
      <c r="K54" s="47" t="s">
        <v>21</v>
      </c>
      <c r="L54" s="28"/>
      <c r="O54" s="13" t="s">
        <v>25</v>
      </c>
      <c r="P54" s="7" t="s">
        <v>21</v>
      </c>
      <c r="Q54" s="6" t="s">
        <v>21</v>
      </c>
      <c r="R54" s="6" t="s">
        <v>21</v>
      </c>
      <c r="S54" s="6"/>
      <c r="T54" s="7"/>
      <c r="U54" s="6"/>
      <c r="V54" s="6"/>
    </row>
    <row r="55" spans="2:22" ht="30" x14ac:dyDescent="0.2">
      <c r="B55" s="13" t="s">
        <v>34</v>
      </c>
      <c r="C55" s="46" t="s">
        <v>662</v>
      </c>
      <c r="D55" s="47" t="s">
        <v>663</v>
      </c>
      <c r="E55" s="47" t="s">
        <v>664</v>
      </c>
      <c r="F55" s="47" t="s">
        <v>661</v>
      </c>
      <c r="G55" s="47" t="s">
        <v>21</v>
      </c>
      <c r="H55" s="47" t="s">
        <v>21</v>
      </c>
      <c r="I55" s="47" t="s">
        <v>21</v>
      </c>
      <c r="J55" s="47" t="s">
        <v>21</v>
      </c>
      <c r="K55" s="47" t="s">
        <v>21</v>
      </c>
      <c r="L55" s="28"/>
      <c r="O55" s="13" t="s">
        <v>34</v>
      </c>
      <c r="P55" s="7" t="s">
        <v>141</v>
      </c>
      <c r="Q55" s="6" t="s">
        <v>141</v>
      </c>
      <c r="R55" s="6" t="s">
        <v>141</v>
      </c>
      <c r="S55" s="6"/>
      <c r="T55" s="7"/>
      <c r="U55" s="7"/>
      <c r="V55" s="6"/>
    </row>
    <row r="56" spans="2:22" ht="15" x14ac:dyDescent="0.2">
      <c r="B56" s="13" t="s">
        <v>5</v>
      </c>
      <c r="C56" s="47" t="s">
        <v>142</v>
      </c>
      <c r="D56" s="47" t="s">
        <v>142</v>
      </c>
      <c r="E56" s="47" t="s">
        <v>142</v>
      </c>
      <c r="F56" s="47" t="s">
        <v>142</v>
      </c>
      <c r="G56" s="47" t="s">
        <v>20</v>
      </c>
      <c r="H56" s="47" t="s">
        <v>20</v>
      </c>
      <c r="I56" s="47" t="s">
        <v>20</v>
      </c>
      <c r="J56" s="47" t="s">
        <v>20</v>
      </c>
      <c r="K56" s="47" t="s">
        <v>20</v>
      </c>
      <c r="L56" s="28"/>
      <c r="O56" s="13" t="s">
        <v>5</v>
      </c>
      <c r="P56" s="7" t="s">
        <v>20</v>
      </c>
      <c r="Q56" s="6" t="s">
        <v>20</v>
      </c>
      <c r="R56" s="6" t="s">
        <v>20</v>
      </c>
      <c r="S56" s="6"/>
      <c r="T56" s="6"/>
      <c r="U56" s="6"/>
      <c r="V56" s="6"/>
    </row>
    <row r="57" spans="2:22" ht="30" x14ac:dyDescent="0.2">
      <c r="B57" s="13" t="s">
        <v>23</v>
      </c>
      <c r="C57" s="47" t="s">
        <v>142</v>
      </c>
      <c r="D57" s="47" t="s">
        <v>142</v>
      </c>
      <c r="E57" s="47" t="s">
        <v>142</v>
      </c>
      <c r="F57" s="47" t="s">
        <v>142</v>
      </c>
      <c r="G57" s="47" t="s">
        <v>142</v>
      </c>
      <c r="H57" s="47" t="s">
        <v>142</v>
      </c>
      <c r="I57" s="47" t="s">
        <v>142</v>
      </c>
      <c r="J57" s="47" t="s">
        <v>142</v>
      </c>
      <c r="K57" s="47" t="s">
        <v>142</v>
      </c>
      <c r="L57" s="28"/>
      <c r="O57" s="13" t="s">
        <v>23</v>
      </c>
      <c r="P57" s="7" t="s">
        <v>20</v>
      </c>
      <c r="Q57" s="6" t="s">
        <v>20</v>
      </c>
      <c r="R57" s="6" t="s">
        <v>20</v>
      </c>
      <c r="S57" s="6"/>
      <c r="T57" s="7"/>
      <c r="U57" s="6"/>
      <c r="V57" s="7"/>
    </row>
    <row r="58" spans="2:22" ht="154.5" customHeight="1" x14ac:dyDescent="0.2">
      <c r="B58" s="13" t="s">
        <v>33</v>
      </c>
      <c r="C58" s="46" t="s">
        <v>665</v>
      </c>
      <c r="D58" s="46" t="s">
        <v>666</v>
      </c>
      <c r="E58" s="46" t="s">
        <v>667</v>
      </c>
      <c r="F58" s="46" t="s">
        <v>680</v>
      </c>
      <c r="G58" s="46" t="s">
        <v>668</v>
      </c>
      <c r="H58" s="46" t="s">
        <v>678</v>
      </c>
      <c r="I58" s="46" t="s">
        <v>669</v>
      </c>
      <c r="J58" s="46" t="s">
        <v>670</v>
      </c>
      <c r="K58" s="46" t="s">
        <v>671</v>
      </c>
      <c r="L58" s="28"/>
      <c r="O58" s="13" t="s">
        <v>33</v>
      </c>
      <c r="P58" s="6" t="s">
        <v>1727</v>
      </c>
      <c r="Q58" s="6" t="s">
        <v>1728</v>
      </c>
      <c r="R58" s="6" t="s">
        <v>1729</v>
      </c>
      <c r="S58" s="6"/>
      <c r="T58" s="7"/>
      <c r="U58" s="7"/>
      <c r="V58" s="6"/>
    </row>
    <row r="59" spans="2:22" ht="23.5" customHeight="1" x14ac:dyDescent="0.2">
      <c r="B59" s="12"/>
      <c r="G59" s="11"/>
      <c r="H59" s="11"/>
    </row>
    <row r="60" spans="2:22" ht="23.5" customHeight="1" x14ac:dyDescent="0.2">
      <c r="B60" s="12"/>
      <c r="G60" s="11"/>
      <c r="H60" s="11"/>
    </row>
    <row r="62" spans="2:22" ht="12.75" customHeight="1" x14ac:dyDescent="0.2">
      <c r="B62" s="96" t="s">
        <v>32</v>
      </c>
      <c r="C62" s="96"/>
      <c r="D62" s="96"/>
      <c r="E62" s="96"/>
      <c r="F62" s="96"/>
      <c r="G62" s="96"/>
      <c r="H62" s="96"/>
      <c r="I62" s="96"/>
      <c r="J62" s="96"/>
      <c r="L62" s="96" t="s">
        <v>31</v>
      </c>
      <c r="M62" s="96"/>
      <c r="N62" s="96"/>
      <c r="O62" s="96"/>
      <c r="P62" s="96"/>
      <c r="Q62" s="96"/>
      <c r="R62" s="96"/>
      <c r="S62" s="96"/>
      <c r="T62" s="96"/>
    </row>
    <row r="63" spans="2:22" ht="30" x14ac:dyDescent="0.2">
      <c r="B63" s="4" t="s">
        <v>10</v>
      </c>
      <c r="C63" s="4" t="s">
        <v>9</v>
      </c>
      <c r="D63" s="4" t="s">
        <v>28</v>
      </c>
      <c r="E63" s="4" t="s">
        <v>27</v>
      </c>
      <c r="F63" s="4" t="s">
        <v>26</v>
      </c>
      <c r="G63" s="4" t="s">
        <v>25</v>
      </c>
      <c r="H63" s="4" t="s">
        <v>24</v>
      </c>
      <c r="I63" s="4" t="s">
        <v>5</v>
      </c>
      <c r="J63" s="4" t="s">
        <v>23</v>
      </c>
      <c r="L63" s="4" t="s">
        <v>10</v>
      </c>
      <c r="M63" s="4" t="s">
        <v>9</v>
      </c>
      <c r="N63" s="4" t="s">
        <v>28</v>
      </c>
      <c r="O63" s="4" t="s">
        <v>27</v>
      </c>
      <c r="P63" s="4" t="s">
        <v>26</v>
      </c>
      <c r="Q63" s="4" t="s">
        <v>25</v>
      </c>
      <c r="R63" s="4" t="s">
        <v>24</v>
      </c>
      <c r="S63" s="4" t="s">
        <v>5</v>
      </c>
      <c r="T63" s="4" t="s">
        <v>23</v>
      </c>
    </row>
    <row r="64" spans="2:22" ht="30" x14ac:dyDescent="0.2">
      <c r="B64" s="45" t="s">
        <v>681</v>
      </c>
      <c r="C64" s="47" t="s">
        <v>16</v>
      </c>
      <c r="D64" s="47" t="s">
        <v>440</v>
      </c>
      <c r="E64" s="47" t="s">
        <v>20</v>
      </c>
      <c r="F64" s="46" t="s">
        <v>672</v>
      </c>
      <c r="G64" s="47" t="s">
        <v>658</v>
      </c>
      <c r="H64" s="46" t="s">
        <v>662</v>
      </c>
      <c r="I64" s="47" t="s">
        <v>142</v>
      </c>
      <c r="J64" s="47" t="s">
        <v>142</v>
      </c>
      <c r="L64" s="3" t="s">
        <v>1730</v>
      </c>
      <c r="M64" s="3" t="s">
        <v>21</v>
      </c>
      <c r="N64" s="3" t="s">
        <v>179</v>
      </c>
      <c r="O64" s="3" t="s">
        <v>20</v>
      </c>
      <c r="P64" s="3" t="s">
        <v>1697</v>
      </c>
      <c r="Q64" s="28" t="s">
        <v>21</v>
      </c>
      <c r="R64" s="28" t="s">
        <v>141</v>
      </c>
      <c r="S64" s="28" t="s">
        <v>20</v>
      </c>
      <c r="T64" s="28" t="s">
        <v>20</v>
      </c>
    </row>
    <row r="65" spans="2:20" ht="45" x14ac:dyDescent="0.2">
      <c r="B65" s="45" t="s">
        <v>682</v>
      </c>
      <c r="C65" s="47" t="s">
        <v>17</v>
      </c>
      <c r="D65" s="47" t="s">
        <v>691</v>
      </c>
      <c r="E65" s="47" t="s">
        <v>20</v>
      </c>
      <c r="F65" s="47" t="s">
        <v>140</v>
      </c>
      <c r="G65" s="47" t="s">
        <v>692</v>
      </c>
      <c r="H65" s="47" t="s">
        <v>663</v>
      </c>
      <c r="I65" s="47" t="s">
        <v>142</v>
      </c>
      <c r="J65" s="47" t="s">
        <v>142</v>
      </c>
      <c r="L65" s="3" t="s">
        <v>1731</v>
      </c>
      <c r="M65" s="3" t="s">
        <v>315</v>
      </c>
      <c r="N65" s="3" t="s">
        <v>18</v>
      </c>
      <c r="O65" s="3" t="s">
        <v>20</v>
      </c>
      <c r="P65" s="3" t="s">
        <v>1697</v>
      </c>
      <c r="Q65" s="28" t="s">
        <v>21</v>
      </c>
      <c r="R65" s="28" t="s">
        <v>141</v>
      </c>
      <c r="S65" s="28" t="s">
        <v>20</v>
      </c>
      <c r="T65" s="28" t="s">
        <v>20</v>
      </c>
    </row>
    <row r="66" spans="2:20" ht="45" x14ac:dyDescent="0.2">
      <c r="B66" s="45" t="s">
        <v>683</v>
      </c>
      <c r="C66" s="47" t="s">
        <v>16</v>
      </c>
      <c r="D66" s="47" t="s">
        <v>440</v>
      </c>
      <c r="E66" s="47" t="s">
        <v>189</v>
      </c>
      <c r="F66" s="47" t="s">
        <v>140</v>
      </c>
      <c r="G66" s="46" t="s">
        <v>660</v>
      </c>
      <c r="H66" s="47" t="s">
        <v>664</v>
      </c>
      <c r="I66" s="47" t="s">
        <v>142</v>
      </c>
      <c r="J66" s="47" t="s">
        <v>142</v>
      </c>
      <c r="L66" s="3" t="s">
        <v>1732</v>
      </c>
      <c r="M66" s="3" t="s">
        <v>18</v>
      </c>
      <c r="N66" s="3" t="s">
        <v>18</v>
      </c>
      <c r="O66" s="3" t="s">
        <v>20</v>
      </c>
      <c r="P66" s="3" t="s">
        <v>140</v>
      </c>
      <c r="Q66" s="28" t="s">
        <v>21</v>
      </c>
      <c r="R66" s="28" t="s">
        <v>141</v>
      </c>
      <c r="S66" s="28" t="s">
        <v>20</v>
      </c>
      <c r="T66" s="28" t="s">
        <v>20</v>
      </c>
    </row>
    <row r="67" spans="2:20" ht="15" x14ac:dyDescent="0.2">
      <c r="B67" s="45" t="s">
        <v>684</v>
      </c>
      <c r="C67" s="47" t="s">
        <v>19</v>
      </c>
      <c r="D67" s="47" t="s">
        <v>652</v>
      </c>
      <c r="E67" s="47" t="s">
        <v>21</v>
      </c>
      <c r="F67" s="47" t="s">
        <v>140</v>
      </c>
      <c r="G67" s="47" t="s">
        <v>661</v>
      </c>
      <c r="H67" s="47" t="s">
        <v>661</v>
      </c>
      <c r="I67" s="47" t="s">
        <v>142</v>
      </c>
      <c r="J67" s="47" t="s">
        <v>142</v>
      </c>
      <c r="L67" s="3"/>
      <c r="M67" s="3"/>
      <c r="N67" s="3"/>
      <c r="O67" s="3"/>
      <c r="P67" s="3"/>
      <c r="Q67" s="3"/>
      <c r="R67" s="3"/>
      <c r="S67" s="3"/>
      <c r="T67" s="3"/>
    </row>
    <row r="68" spans="2:20" ht="30" x14ac:dyDescent="0.2">
      <c r="B68" s="45" t="s">
        <v>685</v>
      </c>
      <c r="C68" s="47" t="s">
        <v>21</v>
      </c>
      <c r="D68" s="47" t="s">
        <v>206</v>
      </c>
      <c r="E68" s="47" t="s">
        <v>20</v>
      </c>
      <c r="F68" s="47" t="s">
        <v>696</v>
      </c>
      <c r="G68" s="47" t="s">
        <v>21</v>
      </c>
      <c r="H68" s="47" t="s">
        <v>21</v>
      </c>
      <c r="I68" s="47" t="s">
        <v>20</v>
      </c>
      <c r="J68" s="47" t="s">
        <v>142</v>
      </c>
      <c r="L68" s="3"/>
      <c r="M68" s="3"/>
      <c r="N68" s="3"/>
      <c r="O68" s="3"/>
      <c r="P68" s="3"/>
      <c r="Q68" s="3"/>
      <c r="R68" s="3"/>
      <c r="S68" s="3"/>
      <c r="T68" s="3"/>
    </row>
    <row r="69" spans="2:20" ht="15" x14ac:dyDescent="0.2">
      <c r="B69" s="45" t="s">
        <v>686</v>
      </c>
      <c r="C69" s="47" t="s">
        <v>18</v>
      </c>
      <c r="D69" s="47" t="s">
        <v>206</v>
      </c>
      <c r="E69" s="47" t="s">
        <v>16</v>
      </c>
      <c r="F69" s="47" t="s">
        <v>696</v>
      </c>
      <c r="G69" s="47" t="s">
        <v>21</v>
      </c>
      <c r="H69" s="47" t="s">
        <v>21</v>
      </c>
      <c r="I69" s="47" t="s">
        <v>20</v>
      </c>
      <c r="J69" s="47" t="s">
        <v>142</v>
      </c>
      <c r="L69" s="3"/>
      <c r="M69" s="3"/>
      <c r="N69" s="3"/>
      <c r="O69" s="3"/>
      <c r="P69" s="3"/>
      <c r="Q69" s="3"/>
      <c r="R69" s="3"/>
      <c r="S69" s="3"/>
      <c r="T69" s="3"/>
    </row>
    <row r="70" spans="2:20" ht="15" x14ac:dyDescent="0.2">
      <c r="B70" s="45" t="s">
        <v>687</v>
      </c>
      <c r="C70" s="47" t="s">
        <v>315</v>
      </c>
      <c r="D70" s="47" t="s">
        <v>440</v>
      </c>
      <c r="E70" s="47" t="s">
        <v>20</v>
      </c>
      <c r="F70" s="47" t="s">
        <v>140</v>
      </c>
      <c r="G70" s="47" t="s">
        <v>21</v>
      </c>
      <c r="H70" s="47" t="s">
        <v>21</v>
      </c>
      <c r="I70" s="47" t="s">
        <v>20</v>
      </c>
      <c r="J70" s="47" t="s">
        <v>142</v>
      </c>
      <c r="L70" s="3"/>
      <c r="M70" s="3"/>
      <c r="N70" s="3"/>
      <c r="O70" s="3"/>
      <c r="P70" s="3"/>
      <c r="Q70" s="3"/>
      <c r="R70" s="3"/>
      <c r="S70" s="3"/>
      <c r="T70" s="3"/>
    </row>
    <row r="71" spans="2:20" ht="15" x14ac:dyDescent="0.2">
      <c r="B71" s="45" t="s">
        <v>688</v>
      </c>
      <c r="C71" s="47" t="s">
        <v>315</v>
      </c>
      <c r="D71" s="47" t="s">
        <v>18</v>
      </c>
      <c r="E71" s="47" t="s">
        <v>20</v>
      </c>
      <c r="F71" s="47" t="s">
        <v>140</v>
      </c>
      <c r="G71" s="47" t="s">
        <v>21</v>
      </c>
      <c r="H71" s="47" t="s">
        <v>21</v>
      </c>
      <c r="I71" s="47" t="s">
        <v>20</v>
      </c>
      <c r="J71" s="47" t="s">
        <v>142</v>
      </c>
      <c r="L71" s="3"/>
      <c r="M71" s="3"/>
      <c r="N71" s="3"/>
      <c r="O71" s="3"/>
      <c r="P71" s="3"/>
      <c r="Q71" s="3"/>
      <c r="R71" s="3"/>
      <c r="S71" s="3"/>
      <c r="T71" s="3"/>
    </row>
    <row r="72" spans="2:20" ht="15" x14ac:dyDescent="0.2">
      <c r="B72" s="45" t="s">
        <v>689</v>
      </c>
      <c r="C72" s="47" t="s">
        <v>18</v>
      </c>
      <c r="D72" s="47" t="s">
        <v>181</v>
      </c>
      <c r="E72" s="47" t="s">
        <v>20</v>
      </c>
      <c r="F72" s="47" t="s">
        <v>697</v>
      </c>
      <c r="G72" s="47" t="s">
        <v>21</v>
      </c>
      <c r="H72" s="47" t="s">
        <v>21</v>
      </c>
      <c r="I72" s="47" t="s">
        <v>20</v>
      </c>
      <c r="J72" s="47" t="s">
        <v>142</v>
      </c>
      <c r="L72" s="3"/>
      <c r="M72" s="3"/>
      <c r="N72" s="3"/>
      <c r="O72" s="3"/>
      <c r="P72" s="3"/>
      <c r="Q72" s="3"/>
      <c r="R72" s="3"/>
      <c r="S72" s="3"/>
      <c r="T72" s="3"/>
    </row>
    <row r="73" spans="2:20" ht="15" x14ac:dyDescent="0.2">
      <c r="B73" s="45" t="s">
        <v>690</v>
      </c>
      <c r="C73" s="47" t="s">
        <v>16</v>
      </c>
      <c r="D73" s="47" t="s">
        <v>440</v>
      </c>
      <c r="E73" s="47" t="s">
        <v>20</v>
      </c>
      <c r="F73" s="47" t="s">
        <v>698</v>
      </c>
      <c r="G73" s="46" t="s">
        <v>693</v>
      </c>
      <c r="H73" s="47" t="s">
        <v>694</v>
      </c>
      <c r="I73" s="47" t="s">
        <v>695</v>
      </c>
      <c r="J73" s="47" t="s">
        <v>142</v>
      </c>
      <c r="L73" s="3"/>
      <c r="M73" s="3"/>
      <c r="N73" s="3"/>
      <c r="O73" s="3"/>
      <c r="P73" s="3"/>
      <c r="Q73" s="3"/>
      <c r="R73" s="3"/>
      <c r="S73" s="3"/>
      <c r="T73" s="3"/>
    </row>
    <row r="74" spans="2:20" x14ac:dyDescent="0.2">
      <c r="B74" s="10"/>
      <c r="C74" s="10"/>
      <c r="D74" s="10"/>
      <c r="E74" s="10"/>
      <c r="F74" s="10"/>
      <c r="G74" s="10"/>
      <c r="H74" s="10"/>
      <c r="I74" s="10"/>
      <c r="J74" s="10"/>
    </row>
    <row r="76" spans="2:20" ht="12.75" customHeight="1" x14ac:dyDescent="0.2">
      <c r="B76" s="96" t="s">
        <v>30</v>
      </c>
      <c r="C76" s="96"/>
      <c r="D76" s="96"/>
      <c r="E76" s="96"/>
      <c r="F76" s="96"/>
      <c r="G76" s="96"/>
      <c r="H76" s="96"/>
      <c r="I76" s="96"/>
      <c r="J76" s="96"/>
    </row>
    <row r="77" spans="2:20" ht="15" x14ac:dyDescent="0.2">
      <c r="B77" s="27" t="s">
        <v>29</v>
      </c>
      <c r="C77" s="50" t="s">
        <v>721</v>
      </c>
      <c r="D77" s="50" t="s">
        <v>722</v>
      </c>
      <c r="E77" s="50" t="s">
        <v>723</v>
      </c>
      <c r="F77" s="50" t="s">
        <v>724</v>
      </c>
      <c r="G77" s="50" t="s">
        <v>725</v>
      </c>
      <c r="H77" s="50" t="s">
        <v>726</v>
      </c>
      <c r="I77" s="50" t="s">
        <v>727</v>
      </c>
      <c r="J77" s="27" t="s">
        <v>728</v>
      </c>
    </row>
    <row r="78" spans="2:20" ht="15" x14ac:dyDescent="0.2">
      <c r="B78" s="45" t="s">
        <v>699</v>
      </c>
      <c r="C78" s="46" t="s">
        <v>700</v>
      </c>
      <c r="D78" s="47" t="s">
        <v>701</v>
      </c>
      <c r="E78" s="47" t="s">
        <v>21</v>
      </c>
      <c r="F78" s="46" t="s">
        <v>202</v>
      </c>
      <c r="G78" s="46" t="s">
        <v>702</v>
      </c>
      <c r="H78" s="47" t="s">
        <v>22</v>
      </c>
      <c r="I78" s="47" t="s">
        <v>703</v>
      </c>
      <c r="J78" s="3" t="s">
        <v>729</v>
      </c>
    </row>
    <row r="79" spans="2:20" ht="15" x14ac:dyDescent="0.2">
      <c r="B79" s="45" t="s">
        <v>704</v>
      </c>
      <c r="C79" s="46" t="s">
        <v>705</v>
      </c>
      <c r="D79" s="47" t="s">
        <v>706</v>
      </c>
      <c r="E79" s="47" t="s">
        <v>17</v>
      </c>
      <c r="F79" s="46" t="s">
        <v>707</v>
      </c>
      <c r="G79" s="46" t="s">
        <v>708</v>
      </c>
      <c r="H79" s="47" t="s">
        <v>709</v>
      </c>
      <c r="I79" s="47" t="s">
        <v>710</v>
      </c>
      <c r="J79" s="3" t="s">
        <v>730</v>
      </c>
    </row>
    <row r="80" spans="2:20" ht="30" x14ac:dyDescent="0.2">
      <c r="B80" s="45" t="s">
        <v>711</v>
      </c>
      <c r="C80" s="46" t="s">
        <v>712</v>
      </c>
      <c r="D80" s="47" t="s">
        <v>701</v>
      </c>
      <c r="E80" s="47" t="s">
        <v>661</v>
      </c>
      <c r="F80" s="46" t="s">
        <v>713</v>
      </c>
      <c r="G80" s="46" t="s">
        <v>714</v>
      </c>
      <c r="H80" s="47" t="s">
        <v>22</v>
      </c>
      <c r="I80" s="47" t="s">
        <v>154</v>
      </c>
      <c r="J80" s="6" t="s">
        <v>731</v>
      </c>
    </row>
    <row r="81" spans="2:11" ht="30" x14ac:dyDescent="0.2">
      <c r="B81" s="45" t="s">
        <v>715</v>
      </c>
      <c r="C81" s="46" t="s">
        <v>716</v>
      </c>
      <c r="D81" s="47" t="s">
        <v>717</v>
      </c>
      <c r="E81" s="47" t="s">
        <v>718</v>
      </c>
      <c r="F81" s="47" t="s">
        <v>719</v>
      </c>
      <c r="G81" s="47" t="s">
        <v>206</v>
      </c>
      <c r="H81" s="47" t="s">
        <v>720</v>
      </c>
      <c r="I81" s="47" t="s">
        <v>710</v>
      </c>
      <c r="J81" s="6" t="s">
        <v>730</v>
      </c>
    </row>
    <row r="82" spans="2:11" x14ac:dyDescent="0.2">
      <c r="B82" s="6"/>
      <c r="C82" s="9"/>
      <c r="D82" s="6"/>
      <c r="E82" s="6"/>
      <c r="F82" s="6"/>
      <c r="G82" s="6"/>
      <c r="H82" s="6"/>
      <c r="I82" s="6"/>
      <c r="J82" s="6"/>
    </row>
    <row r="83" spans="2:11" x14ac:dyDescent="0.2">
      <c r="B83" s="6"/>
      <c r="C83" s="8"/>
      <c r="D83" s="6"/>
      <c r="E83" s="6"/>
      <c r="F83" s="6"/>
      <c r="G83" s="6"/>
      <c r="H83" s="6"/>
      <c r="I83" s="6"/>
      <c r="J83" s="6"/>
    </row>
    <row r="84" spans="2:11" x14ac:dyDescent="0.2">
      <c r="B84" s="7"/>
      <c r="C84" s="7"/>
      <c r="D84" s="8"/>
      <c r="E84" s="7"/>
      <c r="F84" s="6"/>
      <c r="G84" s="6"/>
      <c r="H84" s="6"/>
      <c r="I84" s="6"/>
      <c r="J84" s="6"/>
    </row>
    <row r="85" spans="2:11" x14ac:dyDescent="0.2">
      <c r="B85" s="7"/>
      <c r="C85" s="8"/>
      <c r="D85" s="6"/>
      <c r="E85" s="6"/>
      <c r="F85" s="6"/>
      <c r="G85" s="6"/>
      <c r="H85" s="6"/>
      <c r="I85" s="6"/>
      <c r="J85" s="6"/>
    </row>
    <row r="86" spans="2:11" x14ac:dyDescent="0.2">
      <c r="B86" s="7"/>
      <c r="C86" s="7"/>
      <c r="D86" s="6"/>
      <c r="E86" s="6"/>
      <c r="F86" s="6"/>
      <c r="G86" s="6"/>
      <c r="H86" s="6"/>
      <c r="I86" s="6"/>
      <c r="J86" s="6"/>
    </row>
    <row r="88" spans="2:11" ht="12.75" customHeight="1" x14ac:dyDescent="0.2">
      <c r="B88" s="97" t="s">
        <v>15</v>
      </c>
      <c r="C88" s="97"/>
      <c r="D88" s="97"/>
      <c r="E88" s="97"/>
      <c r="F88" s="97"/>
      <c r="G88" s="97"/>
      <c r="H88" s="97"/>
    </row>
    <row r="89" spans="2:11" ht="13.75" customHeight="1" x14ac:dyDescent="0.2">
      <c r="B89" s="5" t="s">
        <v>10</v>
      </c>
      <c r="C89" s="5" t="s">
        <v>9</v>
      </c>
      <c r="D89" s="5" t="s">
        <v>14</v>
      </c>
      <c r="E89" s="5" t="s">
        <v>7</v>
      </c>
      <c r="F89" s="5" t="s">
        <v>13</v>
      </c>
      <c r="G89" s="5" t="s">
        <v>5</v>
      </c>
      <c r="H89" s="5" t="s">
        <v>12</v>
      </c>
      <c r="J89" s="91" t="s">
        <v>11</v>
      </c>
      <c r="K89" s="92"/>
    </row>
    <row r="90" spans="2:11" ht="13.75" customHeight="1" x14ac:dyDescent="0.2">
      <c r="B90" s="4" t="s">
        <v>10</v>
      </c>
      <c r="C90" s="4" t="s">
        <v>9</v>
      </c>
      <c r="D90" s="4" t="s">
        <v>8</v>
      </c>
      <c r="E90" s="4" t="s">
        <v>7</v>
      </c>
      <c r="F90" s="4" t="s">
        <v>6</v>
      </c>
      <c r="G90" s="4" t="s">
        <v>5</v>
      </c>
      <c r="H90" s="4" t="s">
        <v>4</v>
      </c>
      <c r="J90" s="91" t="s">
        <v>3</v>
      </c>
      <c r="K90" s="92"/>
    </row>
    <row r="91" spans="2:11" ht="13.75" customHeight="1" x14ac:dyDescent="0.2">
      <c r="B91" s="42" t="s">
        <v>732</v>
      </c>
      <c r="C91" s="44">
        <v>3</v>
      </c>
      <c r="D91" s="44">
        <v>5</v>
      </c>
      <c r="E91" s="44">
        <v>4</v>
      </c>
      <c r="F91" s="44">
        <v>3</v>
      </c>
      <c r="G91" s="44">
        <v>4</v>
      </c>
      <c r="H91" s="2"/>
      <c r="J91" s="91" t="s">
        <v>2</v>
      </c>
      <c r="K91" s="92"/>
    </row>
    <row r="92" spans="2:11" ht="13.75" customHeight="1" x14ac:dyDescent="0.2">
      <c r="B92" s="42" t="s">
        <v>685</v>
      </c>
      <c r="C92" s="44">
        <v>2</v>
      </c>
      <c r="D92" s="44">
        <v>5</v>
      </c>
      <c r="E92" s="44">
        <v>3</v>
      </c>
      <c r="F92" s="44">
        <v>3</v>
      </c>
      <c r="G92" s="44">
        <v>3</v>
      </c>
      <c r="H92" s="2"/>
      <c r="J92" s="91" t="s">
        <v>1</v>
      </c>
      <c r="K92" s="92"/>
    </row>
    <row r="93" spans="2:11" ht="15" x14ac:dyDescent="0.2">
      <c r="B93" s="42" t="s">
        <v>687</v>
      </c>
      <c r="C93" s="44">
        <v>4</v>
      </c>
      <c r="D93" s="44">
        <v>5</v>
      </c>
      <c r="E93" s="44">
        <v>5</v>
      </c>
      <c r="F93" s="44">
        <v>4</v>
      </c>
      <c r="G93" s="44">
        <v>3</v>
      </c>
      <c r="H93" s="2"/>
      <c r="J93" s="92" t="s">
        <v>0</v>
      </c>
      <c r="K93" s="92"/>
    </row>
    <row r="94" spans="2:11" ht="30" x14ac:dyDescent="0.2">
      <c r="B94" s="42" t="s">
        <v>733</v>
      </c>
      <c r="C94" s="44">
        <v>4</v>
      </c>
      <c r="D94" s="44">
        <v>5</v>
      </c>
      <c r="E94" s="44">
        <v>4</v>
      </c>
      <c r="F94" s="44">
        <v>4</v>
      </c>
      <c r="G94" s="44">
        <v>3</v>
      </c>
      <c r="H94" s="2"/>
    </row>
    <row r="95" spans="2:11" ht="30" x14ac:dyDescent="0.2">
      <c r="B95" s="42" t="s">
        <v>734</v>
      </c>
      <c r="C95" s="44">
        <v>5</v>
      </c>
      <c r="D95" s="44">
        <v>5</v>
      </c>
      <c r="E95" s="44">
        <v>5</v>
      </c>
      <c r="F95" s="44">
        <v>4</v>
      </c>
      <c r="G95" s="44">
        <v>3</v>
      </c>
      <c r="H95" s="2"/>
    </row>
    <row r="96" spans="2:11" ht="30" x14ac:dyDescent="0.2">
      <c r="B96" s="42" t="s">
        <v>735</v>
      </c>
      <c r="C96" s="44">
        <v>3</v>
      </c>
      <c r="D96" s="44">
        <v>5</v>
      </c>
      <c r="E96" s="44">
        <v>3</v>
      </c>
      <c r="F96" s="44">
        <v>3</v>
      </c>
      <c r="G96" s="44">
        <v>4</v>
      </c>
      <c r="H96" s="2"/>
    </row>
    <row r="97" spans="1:14" ht="30" x14ac:dyDescent="0.2">
      <c r="B97" s="42" t="s">
        <v>736</v>
      </c>
      <c r="C97" s="44">
        <v>5</v>
      </c>
      <c r="D97" s="44">
        <v>4</v>
      </c>
      <c r="E97" s="44">
        <v>5</v>
      </c>
      <c r="F97" s="44">
        <v>5</v>
      </c>
      <c r="G97" s="44">
        <v>3</v>
      </c>
      <c r="H97" s="2"/>
    </row>
    <row r="98" spans="1:14" ht="20.75" customHeight="1" x14ac:dyDescent="0.2">
      <c r="B98" s="42" t="s">
        <v>690</v>
      </c>
      <c r="C98" s="44">
        <v>5</v>
      </c>
      <c r="D98" s="44">
        <v>3</v>
      </c>
      <c r="E98" s="44">
        <v>5</v>
      </c>
      <c r="F98" s="44">
        <v>4</v>
      </c>
      <c r="G98" s="44">
        <v>4</v>
      </c>
      <c r="H98" s="2"/>
    </row>
    <row r="99" spans="1:14" ht="20.75" customHeight="1" x14ac:dyDescent="0.2">
      <c r="B99" s="42" t="s">
        <v>684</v>
      </c>
      <c r="C99" s="44">
        <v>1</v>
      </c>
      <c r="D99" s="44">
        <v>4</v>
      </c>
      <c r="E99" s="44">
        <v>3</v>
      </c>
      <c r="F99" s="44">
        <v>4</v>
      </c>
      <c r="G99" s="44">
        <v>3</v>
      </c>
      <c r="H99" s="2"/>
    </row>
    <row r="100" spans="1:14" ht="20.75" customHeight="1" x14ac:dyDescent="0.2">
      <c r="B100" s="42" t="s">
        <v>737</v>
      </c>
      <c r="C100" s="44">
        <v>4</v>
      </c>
      <c r="D100" s="44">
        <v>2</v>
      </c>
      <c r="E100" s="44">
        <v>5</v>
      </c>
      <c r="F100" s="44">
        <v>5</v>
      </c>
      <c r="G100" s="44">
        <v>3</v>
      </c>
      <c r="H100" s="2"/>
    </row>
    <row r="101" spans="1:14" ht="20.75" customHeight="1" x14ac:dyDescent="0.2"/>
    <row r="102" spans="1:14" ht="29.5" customHeight="1" x14ac:dyDescent="0.2"/>
    <row r="106" spans="1:14" x14ac:dyDescent="0.2">
      <c r="A106" s="90" t="s">
        <v>1616</v>
      </c>
      <c r="B106" s="88"/>
      <c r="C106" s="88"/>
      <c r="D106" s="88"/>
      <c r="E106" s="88"/>
      <c r="F106" s="88"/>
      <c r="G106" s="88"/>
      <c r="H106" s="88"/>
      <c r="I106" s="88"/>
      <c r="J106" s="88"/>
      <c r="K106" s="88"/>
      <c r="L106" s="88"/>
      <c r="M106" s="88"/>
      <c r="N106" s="89"/>
    </row>
    <row r="107" spans="1:14" x14ac:dyDescent="0.2">
      <c r="A107" s="87" t="s">
        <v>1578</v>
      </c>
      <c r="B107" s="88"/>
      <c r="C107" s="88"/>
      <c r="D107" s="88"/>
      <c r="E107" s="88"/>
      <c r="F107" s="88"/>
      <c r="G107" s="88"/>
      <c r="H107" s="88"/>
      <c r="I107" s="88"/>
      <c r="J107" s="88"/>
      <c r="K107" s="88"/>
      <c r="L107" s="88"/>
      <c r="M107" s="88"/>
      <c r="N107" s="89"/>
    </row>
    <row r="108" spans="1:14" x14ac:dyDescent="0.2">
      <c r="A108" s="87" t="s">
        <v>1890</v>
      </c>
      <c r="B108" s="88"/>
      <c r="C108" s="88"/>
      <c r="D108" s="88"/>
      <c r="E108" s="88"/>
      <c r="F108" s="88"/>
      <c r="G108" s="88"/>
      <c r="H108" s="88"/>
      <c r="I108" s="88"/>
      <c r="J108" s="88"/>
      <c r="K108" s="88"/>
      <c r="L108" s="88"/>
      <c r="M108" s="88"/>
      <c r="N108" s="89"/>
    </row>
    <row r="109" spans="1:14" x14ac:dyDescent="0.2">
      <c r="A109" s="87" t="s">
        <v>1579</v>
      </c>
      <c r="B109" s="88"/>
      <c r="C109" s="88"/>
      <c r="D109" s="88"/>
      <c r="E109" s="88"/>
      <c r="F109" s="88"/>
      <c r="G109" s="88"/>
      <c r="H109" s="88"/>
      <c r="I109" s="88"/>
      <c r="J109" s="88"/>
      <c r="K109" s="88"/>
      <c r="L109" s="88"/>
      <c r="M109" s="88"/>
      <c r="N109" s="89"/>
    </row>
    <row r="110" spans="1:14" x14ac:dyDescent="0.2">
      <c r="A110" s="87" t="s">
        <v>1889</v>
      </c>
      <c r="B110" s="88"/>
      <c r="C110" s="88"/>
      <c r="D110" s="88"/>
      <c r="E110" s="88"/>
      <c r="F110" s="88"/>
      <c r="G110" s="88"/>
      <c r="H110" s="88"/>
      <c r="I110" s="88"/>
      <c r="J110" s="88"/>
      <c r="K110" s="88"/>
      <c r="L110" s="88"/>
      <c r="M110" s="88"/>
      <c r="N110" s="89"/>
    </row>
    <row r="111" spans="1:14" x14ac:dyDescent="0.2">
      <c r="A111" s="87" t="s">
        <v>1580</v>
      </c>
      <c r="B111" s="88"/>
      <c r="C111" s="88"/>
      <c r="D111" s="88"/>
      <c r="E111" s="88"/>
      <c r="F111" s="88"/>
      <c r="G111" s="88"/>
      <c r="H111" s="88"/>
      <c r="I111" s="88"/>
      <c r="J111" s="88"/>
      <c r="K111" s="88"/>
      <c r="L111" s="88"/>
      <c r="M111" s="88"/>
      <c r="N111" s="89"/>
    </row>
    <row r="112" spans="1:14" x14ac:dyDescent="0.2">
      <c r="A112" s="87" t="s">
        <v>1581</v>
      </c>
      <c r="B112" s="88"/>
      <c r="C112" s="88"/>
      <c r="D112" s="88"/>
      <c r="E112" s="88"/>
      <c r="F112" s="88"/>
      <c r="G112" s="88"/>
      <c r="H112" s="88"/>
      <c r="I112" s="88"/>
      <c r="J112" s="88"/>
      <c r="K112" s="88"/>
      <c r="L112" s="88"/>
      <c r="M112" s="88"/>
      <c r="N112" s="89"/>
    </row>
    <row r="113" spans="1:14" x14ac:dyDescent="0.2">
      <c r="A113" s="87" t="s">
        <v>1582</v>
      </c>
      <c r="B113" s="88"/>
      <c r="C113" s="88"/>
      <c r="D113" s="88"/>
      <c r="E113" s="88"/>
      <c r="F113" s="88"/>
      <c r="G113" s="88"/>
      <c r="H113" s="88"/>
      <c r="I113" s="88"/>
      <c r="J113" s="88"/>
      <c r="K113" s="88"/>
      <c r="L113" s="88"/>
      <c r="M113" s="88"/>
      <c r="N113" s="89"/>
    </row>
  </sheetData>
  <mergeCells count="49">
    <mergeCell ref="C6:E6"/>
    <mergeCell ref="C7:E7"/>
    <mergeCell ref="B10:E10"/>
    <mergeCell ref="B1:E1"/>
    <mergeCell ref="C2:E2"/>
    <mergeCell ref="C3:E3"/>
    <mergeCell ref="C4:E4"/>
    <mergeCell ref="C5:E5"/>
    <mergeCell ref="L62:T62"/>
    <mergeCell ref="G10:I10"/>
    <mergeCell ref="C11:E11"/>
    <mergeCell ref="C12:E12"/>
    <mergeCell ref="C14:E14"/>
    <mergeCell ref="B21:C21"/>
    <mergeCell ref="C15:E15"/>
    <mergeCell ref="C16:E16"/>
    <mergeCell ref="C17:E17"/>
    <mergeCell ref="C13:E13"/>
    <mergeCell ref="C40:E40"/>
    <mergeCell ref="C41:E41"/>
    <mergeCell ref="C42:E42"/>
    <mergeCell ref="B35:E35"/>
    <mergeCell ref="G35:J35"/>
    <mergeCell ref="C36:E36"/>
    <mergeCell ref="H36:J36"/>
    <mergeCell ref="C37:E37"/>
    <mergeCell ref="H37:J37"/>
    <mergeCell ref="C38:E38"/>
    <mergeCell ref="H38:J38"/>
    <mergeCell ref="C39:E39"/>
    <mergeCell ref="H39:J39"/>
    <mergeCell ref="J90:K90"/>
    <mergeCell ref="J91:K91"/>
    <mergeCell ref="J92:K92"/>
    <mergeCell ref="J93:K93"/>
    <mergeCell ref="H43:J43"/>
    <mergeCell ref="B62:J62"/>
    <mergeCell ref="C43:E43"/>
    <mergeCell ref="B76:J76"/>
    <mergeCell ref="B88:H88"/>
    <mergeCell ref="J89:K89"/>
    <mergeCell ref="A111:N111"/>
    <mergeCell ref="A112:N112"/>
    <mergeCell ref="A113:N113"/>
    <mergeCell ref="A106:N106"/>
    <mergeCell ref="A107:N107"/>
    <mergeCell ref="A108:N108"/>
    <mergeCell ref="A109:N109"/>
    <mergeCell ref="A110:N110"/>
  </mergeCells>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AF144-D3C6-4CAF-8567-DC13783F4AB7}">
  <dimension ref="A1:U109"/>
  <sheetViews>
    <sheetView topLeftCell="A54" zoomScale="75" workbookViewId="0">
      <selection activeCell="K40" sqref="K40"/>
    </sheetView>
  </sheetViews>
  <sheetFormatPr baseColWidth="10" defaultColWidth="12.59765625" defaultRowHeight="14" x14ac:dyDescent="0.2"/>
  <cols>
    <col min="1" max="1" width="7" style="54" customWidth="1"/>
    <col min="2" max="2" width="21.59765625" style="54" customWidth="1"/>
    <col min="3" max="3" width="23.796875" style="54" customWidth="1"/>
    <col min="4" max="4" width="23.3984375" style="54" customWidth="1"/>
    <col min="5" max="5" width="21.796875" style="54" customWidth="1"/>
    <col min="6" max="7" width="22.59765625" style="54" customWidth="1"/>
    <col min="8" max="8" width="23.19921875" style="54" customWidth="1"/>
    <col min="9" max="9" width="24.59765625" style="54" customWidth="1"/>
    <col min="10" max="10" width="15.3984375" style="54" bestFit="1" customWidth="1"/>
    <col min="11" max="16384" width="12.59765625" style="55"/>
  </cols>
  <sheetData>
    <row r="1" spans="2:9" ht="12.75" customHeight="1" x14ac:dyDescent="0.2">
      <c r="B1" s="113" t="s">
        <v>37</v>
      </c>
      <c r="C1" s="113"/>
      <c r="D1" s="113"/>
      <c r="E1" s="113"/>
    </row>
    <row r="2" spans="2:9" ht="12.75" customHeight="1" x14ac:dyDescent="0.2">
      <c r="B2" s="56" t="s">
        <v>70</v>
      </c>
      <c r="C2" s="115" t="s">
        <v>738</v>
      </c>
      <c r="D2" s="115"/>
      <c r="E2" s="115"/>
    </row>
    <row r="3" spans="2:9" ht="12.75" customHeight="1" x14ac:dyDescent="0.2">
      <c r="B3" s="56" t="s">
        <v>69</v>
      </c>
      <c r="C3" s="115" t="s">
        <v>739</v>
      </c>
      <c r="D3" s="115"/>
      <c r="E3" s="115"/>
    </row>
    <row r="4" spans="2:9" ht="12.75" customHeight="1" x14ac:dyDescent="0.2">
      <c r="B4" s="56" t="s">
        <v>68</v>
      </c>
      <c r="C4" s="115" t="s">
        <v>740</v>
      </c>
      <c r="D4" s="115"/>
      <c r="E4" s="115"/>
    </row>
    <row r="5" spans="2:9" ht="12.75" customHeight="1" x14ac:dyDescent="0.2">
      <c r="B5" s="56" t="s">
        <v>67</v>
      </c>
      <c r="C5" s="115" t="s">
        <v>741</v>
      </c>
      <c r="D5" s="115"/>
      <c r="E5" s="115"/>
    </row>
    <row r="6" spans="2:9" ht="12.75" customHeight="1" x14ac:dyDescent="0.2">
      <c r="B6" s="56" t="s">
        <v>66</v>
      </c>
      <c r="C6" s="115" t="s">
        <v>742</v>
      </c>
      <c r="D6" s="115"/>
      <c r="E6" s="115"/>
    </row>
    <row r="7" spans="2:9" x14ac:dyDescent="0.2">
      <c r="C7" s="121"/>
      <c r="D7" s="121"/>
      <c r="E7" s="121"/>
    </row>
    <row r="8" spans="2:9" ht="17" x14ac:dyDescent="0.2">
      <c r="B8" s="57" t="s">
        <v>65</v>
      </c>
    </row>
    <row r="10" spans="2:9" ht="12.75" customHeight="1" x14ac:dyDescent="0.2">
      <c r="B10" s="111" t="s">
        <v>64</v>
      </c>
      <c r="C10" s="111"/>
      <c r="D10" s="111"/>
      <c r="E10" s="111"/>
      <c r="G10" s="111" t="s">
        <v>63</v>
      </c>
      <c r="H10" s="111"/>
      <c r="I10" s="111"/>
    </row>
    <row r="11" spans="2:9" ht="42" customHeight="1" x14ac:dyDescent="0.2">
      <c r="B11" s="45" t="s">
        <v>743</v>
      </c>
      <c r="C11" s="112" t="s">
        <v>750</v>
      </c>
      <c r="D11" s="112"/>
      <c r="E11" s="112"/>
      <c r="G11" s="58" t="s">
        <v>62</v>
      </c>
      <c r="H11" s="58" t="s">
        <v>61</v>
      </c>
      <c r="I11" s="58" t="s">
        <v>60</v>
      </c>
    </row>
    <row r="12" spans="2:9" ht="45" customHeight="1" x14ac:dyDescent="0.2">
      <c r="B12" s="45" t="s">
        <v>744</v>
      </c>
      <c r="C12" s="112" t="s">
        <v>751</v>
      </c>
      <c r="D12" s="112"/>
      <c r="E12" s="112"/>
      <c r="G12" s="26">
        <v>1</v>
      </c>
      <c r="H12" s="46" t="s">
        <v>757</v>
      </c>
      <c r="I12" s="26" t="s">
        <v>771</v>
      </c>
    </row>
    <row r="13" spans="2:9" ht="62.25" customHeight="1" x14ac:dyDescent="0.2">
      <c r="B13" s="45" t="s">
        <v>745</v>
      </c>
      <c r="C13" s="112" t="s">
        <v>752</v>
      </c>
      <c r="D13" s="112"/>
      <c r="E13" s="112"/>
      <c r="G13" s="26">
        <v>2</v>
      </c>
      <c r="H13" s="46" t="s">
        <v>758</v>
      </c>
      <c r="I13" s="26" t="s">
        <v>765</v>
      </c>
    </row>
    <row r="14" spans="2:9" ht="54.75" customHeight="1" x14ac:dyDescent="0.2">
      <c r="B14" s="45" t="s">
        <v>746</v>
      </c>
      <c r="C14" s="112" t="s">
        <v>753</v>
      </c>
      <c r="D14" s="112"/>
      <c r="E14" s="112"/>
      <c r="G14" s="26">
        <v>3</v>
      </c>
      <c r="H14" s="46" t="s">
        <v>759</v>
      </c>
      <c r="I14" s="26" t="s">
        <v>766</v>
      </c>
    </row>
    <row r="15" spans="2:9" ht="54.75" customHeight="1" x14ac:dyDescent="0.2">
      <c r="B15" s="45" t="s">
        <v>747</v>
      </c>
      <c r="C15" s="112" t="s">
        <v>754</v>
      </c>
      <c r="D15" s="112"/>
      <c r="E15" s="112"/>
      <c r="G15" s="26">
        <v>4</v>
      </c>
      <c r="H15" s="46" t="s">
        <v>760</v>
      </c>
      <c r="I15" s="26" t="s">
        <v>766</v>
      </c>
    </row>
    <row r="16" spans="2:9" ht="54.75" customHeight="1" x14ac:dyDescent="0.2">
      <c r="B16" s="45" t="s">
        <v>748</v>
      </c>
      <c r="C16" s="112" t="s">
        <v>755</v>
      </c>
      <c r="D16" s="112"/>
      <c r="E16" s="112"/>
      <c r="G16" s="26">
        <v>5</v>
      </c>
      <c r="H16" s="46" t="s">
        <v>761</v>
      </c>
      <c r="I16" s="26" t="s">
        <v>767</v>
      </c>
    </row>
    <row r="17" spans="2:9" ht="54.75" customHeight="1" x14ac:dyDescent="0.2">
      <c r="B17" s="45" t="s">
        <v>749</v>
      </c>
      <c r="C17" s="112" t="s">
        <v>756</v>
      </c>
      <c r="D17" s="112"/>
      <c r="E17" s="112"/>
      <c r="G17" s="26">
        <v>6</v>
      </c>
      <c r="H17" s="46" t="s">
        <v>762</v>
      </c>
      <c r="I17" s="26" t="s">
        <v>768</v>
      </c>
    </row>
    <row r="18" spans="2:9" ht="54.75" customHeight="1" x14ac:dyDescent="0.2">
      <c r="B18" s="59"/>
      <c r="C18" s="60"/>
      <c r="D18" s="60"/>
      <c r="E18" s="60"/>
      <c r="G18" s="26">
        <v>7</v>
      </c>
      <c r="H18" s="46" t="s">
        <v>763</v>
      </c>
      <c r="I18" s="26" t="s">
        <v>769</v>
      </c>
    </row>
    <row r="19" spans="2:9" ht="45" x14ac:dyDescent="0.2">
      <c r="G19" s="26">
        <v>8</v>
      </c>
      <c r="H19" s="46" t="s">
        <v>764</v>
      </c>
      <c r="I19" s="26" t="s">
        <v>770</v>
      </c>
    </row>
    <row r="20" spans="2:9" ht="12.75" customHeight="1" x14ac:dyDescent="0.2">
      <c r="B20" s="119" t="s">
        <v>58</v>
      </c>
      <c r="C20" s="120"/>
      <c r="D20" s="120"/>
      <c r="E20" s="120"/>
      <c r="G20" s="26">
        <v>9</v>
      </c>
      <c r="H20" s="26"/>
      <c r="I20" s="26"/>
    </row>
    <row r="21" spans="2:9" ht="15" x14ac:dyDescent="0.2">
      <c r="B21" s="58" t="s">
        <v>57</v>
      </c>
      <c r="C21" s="58" t="s">
        <v>56</v>
      </c>
      <c r="D21" s="58" t="s">
        <v>57</v>
      </c>
      <c r="E21" s="58" t="s">
        <v>56</v>
      </c>
      <c r="G21" s="26">
        <v>10</v>
      </c>
      <c r="H21" s="26"/>
      <c r="I21" s="26"/>
    </row>
    <row r="22" spans="2:9" ht="45" x14ac:dyDescent="0.2">
      <c r="B22" s="51" t="s">
        <v>772</v>
      </c>
      <c r="C22" s="52" t="s">
        <v>779</v>
      </c>
      <c r="D22" s="51" t="s">
        <v>28</v>
      </c>
      <c r="E22" s="52" t="s">
        <v>786</v>
      </c>
      <c r="G22" s="26">
        <v>11</v>
      </c>
      <c r="H22" s="26"/>
      <c r="I22" s="26"/>
    </row>
    <row r="23" spans="2:9" ht="45" x14ac:dyDescent="0.2">
      <c r="B23" s="51" t="s">
        <v>773</v>
      </c>
      <c r="C23" s="52" t="s">
        <v>780</v>
      </c>
      <c r="D23" s="51" t="s">
        <v>27</v>
      </c>
      <c r="E23" s="52" t="s">
        <v>787</v>
      </c>
      <c r="G23" s="26">
        <v>12</v>
      </c>
      <c r="H23" s="26"/>
      <c r="I23" s="26"/>
    </row>
    <row r="24" spans="2:9" ht="30" x14ac:dyDescent="0.2">
      <c r="B24" s="51" t="s">
        <v>774</v>
      </c>
      <c r="C24" s="52" t="s">
        <v>781</v>
      </c>
      <c r="D24" s="51" t="s">
        <v>55</v>
      </c>
      <c r="E24" s="52" t="s">
        <v>788</v>
      </c>
      <c r="G24" s="23"/>
      <c r="H24" s="36"/>
      <c r="I24" s="36"/>
    </row>
    <row r="25" spans="2:9" ht="45" x14ac:dyDescent="0.2">
      <c r="B25" s="51" t="s">
        <v>775</v>
      </c>
      <c r="C25" s="52" t="s">
        <v>782</v>
      </c>
      <c r="D25" s="51" t="s">
        <v>24</v>
      </c>
      <c r="E25" s="52" t="s">
        <v>789</v>
      </c>
      <c r="G25" s="23"/>
      <c r="H25" s="36"/>
      <c r="I25" s="36"/>
    </row>
    <row r="26" spans="2:9" ht="45" x14ac:dyDescent="0.2">
      <c r="B26" s="51" t="s">
        <v>776</v>
      </c>
      <c r="C26" s="52" t="s">
        <v>783</v>
      </c>
      <c r="D26" s="51" t="s">
        <v>26</v>
      </c>
      <c r="E26" s="52" t="s">
        <v>790</v>
      </c>
      <c r="G26" s="23"/>
      <c r="H26" s="36"/>
      <c r="I26" s="36"/>
    </row>
    <row r="27" spans="2:9" ht="30" x14ac:dyDescent="0.2">
      <c r="B27" s="51" t="s">
        <v>777</v>
      </c>
      <c r="C27" s="52" t="s">
        <v>784</v>
      </c>
      <c r="D27" s="51" t="s">
        <v>25</v>
      </c>
      <c r="E27" s="52" t="s">
        <v>791</v>
      </c>
      <c r="G27" s="36"/>
      <c r="H27" s="36"/>
      <c r="I27" s="36"/>
    </row>
    <row r="28" spans="2:9" ht="90" x14ac:dyDescent="0.2">
      <c r="B28" s="51" t="s">
        <v>778</v>
      </c>
      <c r="C28" s="53" t="s">
        <v>1892</v>
      </c>
      <c r="D28" s="51" t="s">
        <v>5</v>
      </c>
      <c r="E28" s="52" t="s">
        <v>792</v>
      </c>
      <c r="G28" s="36"/>
      <c r="H28" s="36"/>
      <c r="I28" s="36"/>
    </row>
    <row r="29" spans="2:9" ht="45" x14ac:dyDescent="0.2">
      <c r="B29" s="51" t="s">
        <v>9</v>
      </c>
      <c r="C29" s="52" t="s">
        <v>785</v>
      </c>
      <c r="D29" s="51" t="s">
        <v>23</v>
      </c>
      <c r="E29" s="52" t="s">
        <v>793</v>
      </c>
      <c r="G29" s="36"/>
      <c r="H29" s="36"/>
      <c r="I29" s="36"/>
    </row>
    <row r="30" spans="2:9" x14ac:dyDescent="0.2">
      <c r="B30" s="61"/>
      <c r="C30" s="61"/>
      <c r="D30" s="36"/>
      <c r="E30" s="36"/>
      <c r="G30" s="36"/>
      <c r="H30" s="36"/>
      <c r="I30" s="36"/>
    </row>
    <row r="32" spans="2:9" ht="17" x14ac:dyDescent="0.2">
      <c r="B32" s="57" t="s">
        <v>54</v>
      </c>
      <c r="G32" s="57" t="s">
        <v>53</v>
      </c>
    </row>
    <row r="34" spans="2:21" ht="12.75" customHeight="1" x14ac:dyDescent="0.2">
      <c r="B34" s="113" t="s">
        <v>52</v>
      </c>
      <c r="C34" s="113"/>
      <c r="D34" s="113"/>
      <c r="E34" s="113"/>
      <c r="G34" s="113" t="s">
        <v>51</v>
      </c>
      <c r="H34" s="113"/>
      <c r="I34" s="113"/>
      <c r="J34" s="113"/>
    </row>
    <row r="35" spans="2:21" ht="60" customHeight="1" x14ac:dyDescent="0.2">
      <c r="B35" s="36" t="s">
        <v>50</v>
      </c>
      <c r="C35" s="112" t="s">
        <v>794</v>
      </c>
      <c r="D35" s="112"/>
      <c r="E35" s="112"/>
      <c r="G35" s="36" t="s">
        <v>49</v>
      </c>
      <c r="H35" s="112" t="s">
        <v>797</v>
      </c>
      <c r="I35" s="112"/>
      <c r="J35" s="112"/>
    </row>
    <row r="36" spans="2:21" ht="65.5" customHeight="1" x14ac:dyDescent="0.2">
      <c r="B36" s="36" t="s">
        <v>48</v>
      </c>
      <c r="C36" s="115" t="s">
        <v>795</v>
      </c>
      <c r="D36" s="115"/>
      <c r="E36" s="115"/>
      <c r="G36" s="36" t="s">
        <v>47</v>
      </c>
      <c r="H36" s="112" t="s">
        <v>798</v>
      </c>
      <c r="I36" s="112"/>
      <c r="J36" s="112"/>
    </row>
    <row r="37" spans="2:21" ht="53.5" customHeight="1" x14ac:dyDescent="0.2">
      <c r="B37" s="36" t="s">
        <v>46</v>
      </c>
      <c r="C37" s="115" t="s">
        <v>1893</v>
      </c>
      <c r="D37" s="115"/>
      <c r="E37" s="115"/>
      <c r="G37" s="36" t="s">
        <v>45</v>
      </c>
      <c r="H37" s="115" t="s">
        <v>799</v>
      </c>
      <c r="I37" s="115"/>
      <c r="J37" s="115"/>
    </row>
    <row r="38" spans="2:21" ht="67" customHeight="1" x14ac:dyDescent="0.2">
      <c r="B38" s="36" t="s">
        <v>44</v>
      </c>
      <c r="C38" s="115" t="s">
        <v>796</v>
      </c>
      <c r="D38" s="115"/>
      <c r="E38" s="115"/>
      <c r="G38" s="36" t="s">
        <v>43</v>
      </c>
      <c r="H38" s="115" t="s">
        <v>800</v>
      </c>
      <c r="I38" s="115"/>
      <c r="J38" s="115"/>
    </row>
    <row r="39" spans="2:21" ht="67" customHeight="1" x14ac:dyDescent="0.2">
      <c r="C39" s="62"/>
      <c r="D39" s="62"/>
      <c r="E39" s="62"/>
      <c r="G39" s="36" t="s">
        <v>42</v>
      </c>
      <c r="H39" s="136" t="s">
        <v>1894</v>
      </c>
      <c r="I39" s="137"/>
      <c r="J39" s="138"/>
    </row>
    <row r="41" spans="2:21" ht="68" x14ac:dyDescent="0.2">
      <c r="B41" s="57" t="s">
        <v>41</v>
      </c>
      <c r="N41" s="57" t="s">
        <v>40</v>
      </c>
      <c r="O41" s="54"/>
      <c r="P41" s="54"/>
      <c r="Q41" s="54"/>
      <c r="R41" s="54"/>
      <c r="S41" s="54"/>
      <c r="T41" s="54"/>
      <c r="U41" s="54"/>
    </row>
    <row r="42" spans="2:21" x14ac:dyDescent="0.2">
      <c r="N42" s="54"/>
      <c r="O42" s="54"/>
      <c r="P42" s="54"/>
      <c r="Q42" s="54"/>
      <c r="R42" s="54"/>
      <c r="S42" s="54"/>
      <c r="T42" s="54"/>
      <c r="U42" s="54"/>
    </row>
    <row r="43" spans="2:21" ht="30" x14ac:dyDescent="0.2">
      <c r="B43" s="63" t="s">
        <v>39</v>
      </c>
      <c r="C43" s="63" t="s">
        <v>38</v>
      </c>
      <c r="D43" s="63">
        <v>2</v>
      </c>
      <c r="E43" s="63">
        <v>3</v>
      </c>
      <c r="F43" s="63">
        <v>4</v>
      </c>
      <c r="G43" s="63">
        <v>5</v>
      </c>
      <c r="H43" s="63">
        <v>6</v>
      </c>
      <c r="I43" s="63">
        <v>7</v>
      </c>
      <c r="J43" s="63">
        <v>8</v>
      </c>
      <c r="K43" s="63">
        <v>9</v>
      </c>
      <c r="N43" s="63" t="s">
        <v>39</v>
      </c>
      <c r="O43" s="63" t="s">
        <v>38</v>
      </c>
      <c r="P43" s="63">
        <v>2</v>
      </c>
      <c r="Q43" s="63">
        <v>3</v>
      </c>
      <c r="R43" s="63">
        <v>4</v>
      </c>
      <c r="S43" s="63">
        <v>5</v>
      </c>
      <c r="T43" s="63">
        <v>6</v>
      </c>
      <c r="U43" s="63">
        <v>7</v>
      </c>
    </row>
    <row r="44" spans="2:21" ht="123" customHeight="1" x14ac:dyDescent="0.2">
      <c r="B44" s="64" t="s">
        <v>37</v>
      </c>
      <c r="C44" s="64" t="s">
        <v>801</v>
      </c>
      <c r="D44" s="64" t="s">
        <v>802</v>
      </c>
      <c r="E44" s="64" t="s">
        <v>803</v>
      </c>
      <c r="F44" s="64" t="s">
        <v>804</v>
      </c>
      <c r="G44" s="64" t="s">
        <v>805</v>
      </c>
      <c r="H44" s="64" t="s">
        <v>806</v>
      </c>
      <c r="I44" s="64" t="s">
        <v>807</v>
      </c>
      <c r="J44" s="64" t="s">
        <v>808</v>
      </c>
      <c r="K44" s="64" t="s">
        <v>809</v>
      </c>
      <c r="N44" s="64" t="s">
        <v>37</v>
      </c>
      <c r="O44" s="84" t="s">
        <v>1733</v>
      </c>
      <c r="P44" s="84" t="s">
        <v>1734</v>
      </c>
      <c r="Q44" s="84" t="s">
        <v>1735</v>
      </c>
      <c r="R44" s="84" t="s">
        <v>1736</v>
      </c>
      <c r="S44" s="84" t="s">
        <v>1737</v>
      </c>
      <c r="T44" s="84" t="s">
        <v>1738</v>
      </c>
      <c r="U44" s="84" t="s">
        <v>1739</v>
      </c>
    </row>
    <row r="45" spans="2:21" ht="210" x14ac:dyDescent="0.2">
      <c r="B45" s="56" t="s">
        <v>36</v>
      </c>
      <c r="C45" s="46" t="s">
        <v>810</v>
      </c>
      <c r="D45" s="46" t="s">
        <v>811</v>
      </c>
      <c r="E45" s="46" t="s">
        <v>812</v>
      </c>
      <c r="F45" s="46" t="s">
        <v>813</v>
      </c>
      <c r="G45" s="46" t="s">
        <v>814</v>
      </c>
      <c r="H45" s="46" t="s">
        <v>815</v>
      </c>
      <c r="I45" s="46" t="s">
        <v>816</v>
      </c>
      <c r="J45" s="46" t="s">
        <v>817</v>
      </c>
      <c r="K45" s="46" t="s">
        <v>818</v>
      </c>
      <c r="N45" s="56" t="s">
        <v>36</v>
      </c>
      <c r="O45" s="6" t="s">
        <v>1740</v>
      </c>
      <c r="P45" s="6" t="s">
        <v>1741</v>
      </c>
      <c r="Q45" s="6" t="s">
        <v>1742</v>
      </c>
      <c r="R45" s="6" t="s">
        <v>1743</v>
      </c>
      <c r="S45" s="6" t="s">
        <v>1744</v>
      </c>
      <c r="T45" s="6" t="s">
        <v>1745</v>
      </c>
      <c r="U45" s="6" t="s">
        <v>1746</v>
      </c>
    </row>
    <row r="46" spans="2:21" ht="45" x14ac:dyDescent="0.2">
      <c r="B46" s="56" t="s">
        <v>9</v>
      </c>
      <c r="C46" s="47" t="s">
        <v>315</v>
      </c>
      <c r="D46" s="47" t="s">
        <v>819</v>
      </c>
      <c r="E46" s="47" t="s">
        <v>820</v>
      </c>
      <c r="F46" s="47" t="s">
        <v>821</v>
      </c>
      <c r="G46" s="47" t="s">
        <v>822</v>
      </c>
      <c r="H46" s="47" t="s">
        <v>823</v>
      </c>
      <c r="I46" s="47" t="s">
        <v>824</v>
      </c>
      <c r="J46" s="47" t="s">
        <v>825</v>
      </c>
      <c r="K46" s="47" t="s">
        <v>826</v>
      </c>
      <c r="N46" s="56" t="s">
        <v>9</v>
      </c>
      <c r="O46" s="6" t="s">
        <v>21</v>
      </c>
      <c r="P46" s="6" t="s">
        <v>18</v>
      </c>
      <c r="Q46" s="6" t="s">
        <v>19</v>
      </c>
      <c r="R46" s="6" t="s">
        <v>18</v>
      </c>
      <c r="S46" s="6" t="s">
        <v>315</v>
      </c>
      <c r="T46" s="6" t="s">
        <v>18</v>
      </c>
      <c r="U46" s="6" t="s">
        <v>16</v>
      </c>
    </row>
    <row r="47" spans="2:21" ht="15" x14ac:dyDescent="0.2">
      <c r="B47" s="56" t="s">
        <v>28</v>
      </c>
      <c r="C47" s="47" t="s">
        <v>440</v>
      </c>
      <c r="D47" s="46" t="s">
        <v>827</v>
      </c>
      <c r="E47" s="46" t="s">
        <v>828</v>
      </c>
      <c r="F47" s="47" t="s">
        <v>18</v>
      </c>
      <c r="G47" s="47" t="s">
        <v>440</v>
      </c>
      <c r="H47" s="47" t="s">
        <v>101</v>
      </c>
      <c r="I47" s="47" t="s">
        <v>829</v>
      </c>
      <c r="J47" s="47" t="s">
        <v>179</v>
      </c>
      <c r="K47" s="47" t="s">
        <v>101</v>
      </c>
      <c r="N47" s="56" t="s">
        <v>28</v>
      </c>
      <c r="O47" s="6" t="s">
        <v>179</v>
      </c>
      <c r="P47" s="8" t="s">
        <v>18</v>
      </c>
      <c r="Q47" s="6" t="s">
        <v>179</v>
      </c>
      <c r="R47" s="6" t="s">
        <v>18</v>
      </c>
      <c r="S47" s="6" t="s">
        <v>179</v>
      </c>
      <c r="T47" s="6" t="s">
        <v>18</v>
      </c>
      <c r="U47" s="6" t="s">
        <v>179</v>
      </c>
    </row>
    <row r="48" spans="2:21" ht="30" x14ac:dyDescent="0.2">
      <c r="B48" s="56" t="s">
        <v>35</v>
      </c>
      <c r="C48" s="47" t="s">
        <v>20</v>
      </c>
      <c r="D48" s="47" t="s">
        <v>16</v>
      </c>
      <c r="E48" s="47" t="s">
        <v>830</v>
      </c>
      <c r="F48" s="47" t="s">
        <v>20</v>
      </c>
      <c r="G48" s="47" t="s">
        <v>20</v>
      </c>
      <c r="H48" s="47" t="s">
        <v>20</v>
      </c>
      <c r="I48" s="47" t="s">
        <v>189</v>
      </c>
      <c r="J48" s="68" t="s">
        <v>831</v>
      </c>
      <c r="K48" s="68" t="s">
        <v>832</v>
      </c>
      <c r="N48" s="56" t="s">
        <v>35</v>
      </c>
      <c r="O48" s="6" t="s">
        <v>20</v>
      </c>
      <c r="P48" s="6" t="s">
        <v>20</v>
      </c>
      <c r="Q48" s="6" t="s">
        <v>20</v>
      </c>
      <c r="R48" s="6" t="s">
        <v>20</v>
      </c>
      <c r="S48" s="6" t="s">
        <v>20</v>
      </c>
      <c r="T48" s="6" t="s">
        <v>20</v>
      </c>
      <c r="U48" s="6" t="s">
        <v>20</v>
      </c>
    </row>
    <row r="49" spans="2:21" ht="30" x14ac:dyDescent="0.2">
      <c r="B49" s="56" t="s">
        <v>26</v>
      </c>
      <c r="C49" s="47" t="s">
        <v>673</v>
      </c>
      <c r="D49" s="47" t="s">
        <v>845</v>
      </c>
      <c r="E49" s="47" t="s">
        <v>845</v>
      </c>
      <c r="F49" s="47" t="s">
        <v>845</v>
      </c>
      <c r="G49" s="46" t="s">
        <v>846</v>
      </c>
      <c r="H49" s="46" t="s">
        <v>847</v>
      </c>
      <c r="I49" s="46" t="s">
        <v>848</v>
      </c>
      <c r="J49" s="47" t="s">
        <v>849</v>
      </c>
      <c r="K49" s="47" t="s">
        <v>850</v>
      </c>
      <c r="N49" s="56" t="s">
        <v>26</v>
      </c>
      <c r="O49" s="6" t="s">
        <v>1631</v>
      </c>
      <c r="P49" s="6" t="s">
        <v>1631</v>
      </c>
      <c r="Q49" s="6" t="s">
        <v>1631</v>
      </c>
      <c r="R49" s="6" t="s">
        <v>140</v>
      </c>
      <c r="S49" s="6" t="s">
        <v>1631</v>
      </c>
      <c r="T49" s="6" t="s">
        <v>140</v>
      </c>
      <c r="U49" s="6" t="s">
        <v>140</v>
      </c>
    </row>
    <row r="50" spans="2:21" ht="15" x14ac:dyDescent="0.2">
      <c r="B50" s="56" t="s">
        <v>25</v>
      </c>
      <c r="C50" s="47" t="s">
        <v>833</v>
      </c>
      <c r="D50" s="47" t="s">
        <v>21</v>
      </c>
      <c r="E50" s="47" t="s">
        <v>21</v>
      </c>
      <c r="F50" s="47" t="s">
        <v>21</v>
      </c>
      <c r="G50" s="47" t="s">
        <v>21</v>
      </c>
      <c r="H50" s="47" t="s">
        <v>21</v>
      </c>
      <c r="I50" s="47" t="s">
        <v>21</v>
      </c>
      <c r="J50" s="47" t="s">
        <v>21</v>
      </c>
      <c r="K50" s="47" t="s">
        <v>21</v>
      </c>
      <c r="N50" s="56" t="s">
        <v>25</v>
      </c>
      <c r="O50" s="6" t="s">
        <v>21</v>
      </c>
      <c r="P50" s="6" t="s">
        <v>21</v>
      </c>
      <c r="Q50" s="6" t="s">
        <v>21</v>
      </c>
      <c r="R50" s="6" t="s">
        <v>21</v>
      </c>
      <c r="S50" s="6" t="s">
        <v>21</v>
      </c>
      <c r="T50" s="6" t="s">
        <v>21</v>
      </c>
      <c r="U50" s="6" t="s">
        <v>21</v>
      </c>
    </row>
    <row r="51" spans="2:21" ht="30" x14ac:dyDescent="0.2">
      <c r="B51" s="56" t="s">
        <v>34</v>
      </c>
      <c r="C51" s="47" t="s">
        <v>833</v>
      </c>
      <c r="D51" s="47" t="s">
        <v>21</v>
      </c>
      <c r="E51" s="47" t="s">
        <v>21</v>
      </c>
      <c r="F51" s="47" t="s">
        <v>21</v>
      </c>
      <c r="G51" s="47" t="s">
        <v>21</v>
      </c>
      <c r="H51" s="47" t="s">
        <v>21</v>
      </c>
      <c r="I51" s="47" t="s">
        <v>21</v>
      </c>
      <c r="J51" s="47" t="s">
        <v>21</v>
      </c>
      <c r="K51" s="47" t="s">
        <v>21</v>
      </c>
      <c r="N51" s="56" t="s">
        <v>34</v>
      </c>
      <c r="O51" s="6" t="s">
        <v>141</v>
      </c>
      <c r="P51" s="6" t="s">
        <v>141</v>
      </c>
      <c r="Q51" s="6" t="s">
        <v>141</v>
      </c>
      <c r="R51" s="6" t="s">
        <v>141</v>
      </c>
      <c r="S51" s="6" t="s">
        <v>141</v>
      </c>
      <c r="T51" s="6" t="s">
        <v>141</v>
      </c>
      <c r="U51" s="6" t="s">
        <v>141</v>
      </c>
    </row>
    <row r="52" spans="2:21" ht="15" x14ac:dyDescent="0.2">
      <c r="B52" s="56" t="s">
        <v>5</v>
      </c>
      <c r="C52" s="47" t="s">
        <v>142</v>
      </c>
      <c r="D52" s="47" t="s">
        <v>20</v>
      </c>
      <c r="E52" s="47" t="s">
        <v>20</v>
      </c>
      <c r="F52" s="47" t="s">
        <v>20</v>
      </c>
      <c r="G52" s="47" t="s">
        <v>20</v>
      </c>
      <c r="H52" s="47" t="s">
        <v>20</v>
      </c>
      <c r="I52" s="47" t="s">
        <v>20</v>
      </c>
      <c r="J52" s="47" t="s">
        <v>834</v>
      </c>
      <c r="K52" s="47" t="s">
        <v>695</v>
      </c>
      <c r="N52" s="56" t="s">
        <v>5</v>
      </c>
      <c r="O52" s="6" t="s">
        <v>20</v>
      </c>
      <c r="P52" s="6" t="s">
        <v>695</v>
      </c>
      <c r="Q52" s="6" t="s">
        <v>20</v>
      </c>
      <c r="R52" s="6" t="s">
        <v>20</v>
      </c>
      <c r="S52" s="6" t="s">
        <v>20</v>
      </c>
      <c r="T52" s="6" t="s">
        <v>20</v>
      </c>
      <c r="U52" s="6" t="s">
        <v>695</v>
      </c>
    </row>
    <row r="53" spans="2:21" ht="30" x14ac:dyDescent="0.2">
      <c r="B53" s="56" t="s">
        <v>23</v>
      </c>
      <c r="C53" s="47" t="s">
        <v>142</v>
      </c>
      <c r="D53" s="47" t="s">
        <v>142</v>
      </c>
      <c r="E53" s="47" t="s">
        <v>835</v>
      </c>
      <c r="F53" s="47" t="s">
        <v>142</v>
      </c>
      <c r="G53" s="47" t="s">
        <v>142</v>
      </c>
      <c r="H53" s="47" t="s">
        <v>142</v>
      </c>
      <c r="I53" s="47" t="s">
        <v>142</v>
      </c>
      <c r="J53" s="47" t="s">
        <v>834</v>
      </c>
      <c r="K53" s="47" t="s">
        <v>20</v>
      </c>
      <c r="N53" s="56" t="s">
        <v>23</v>
      </c>
      <c r="O53" s="6" t="s">
        <v>20</v>
      </c>
      <c r="P53" s="6" t="s">
        <v>20</v>
      </c>
      <c r="Q53" s="6" t="s">
        <v>20</v>
      </c>
      <c r="R53" s="6" t="s">
        <v>20</v>
      </c>
      <c r="S53" s="6" t="s">
        <v>20</v>
      </c>
      <c r="T53" s="6" t="s">
        <v>20</v>
      </c>
      <c r="U53" s="6" t="s">
        <v>20</v>
      </c>
    </row>
    <row r="54" spans="2:21" ht="154.5" customHeight="1" x14ac:dyDescent="0.2">
      <c r="B54" s="56" t="s">
        <v>33</v>
      </c>
      <c r="C54" s="46" t="s">
        <v>836</v>
      </c>
      <c r="D54" s="46" t="s">
        <v>837</v>
      </c>
      <c r="E54" s="46" t="s">
        <v>838</v>
      </c>
      <c r="F54" s="46" t="s">
        <v>839</v>
      </c>
      <c r="G54" s="46" t="s">
        <v>840</v>
      </c>
      <c r="H54" s="46" t="s">
        <v>841</v>
      </c>
      <c r="I54" s="46" t="s">
        <v>842</v>
      </c>
      <c r="J54" s="46" t="s">
        <v>843</v>
      </c>
      <c r="K54" s="46" t="s">
        <v>844</v>
      </c>
      <c r="N54" s="56" t="s">
        <v>33</v>
      </c>
      <c r="O54" s="6" t="s">
        <v>1747</v>
      </c>
      <c r="P54" s="6" t="s">
        <v>1748</v>
      </c>
      <c r="Q54" s="6" t="s">
        <v>1749</v>
      </c>
      <c r="R54" s="6" t="s">
        <v>1750</v>
      </c>
      <c r="S54" s="6" t="s">
        <v>1751</v>
      </c>
      <c r="T54" s="6" t="s">
        <v>1752</v>
      </c>
      <c r="U54" s="6" t="s">
        <v>1753</v>
      </c>
    </row>
    <row r="55" spans="2:21" ht="23.5" customHeight="1" x14ac:dyDescent="0.2">
      <c r="B55" s="59"/>
    </row>
    <row r="56" spans="2:21" ht="23.5" customHeight="1" x14ac:dyDescent="0.2">
      <c r="B56" s="59"/>
    </row>
    <row r="58" spans="2:21" ht="12.75" customHeight="1" x14ac:dyDescent="0.2">
      <c r="B58" s="111" t="s">
        <v>32</v>
      </c>
      <c r="C58" s="111"/>
      <c r="D58" s="111"/>
      <c r="E58" s="111"/>
      <c r="F58" s="111"/>
      <c r="G58" s="111"/>
      <c r="H58" s="111"/>
      <c r="I58" s="111"/>
      <c r="J58" s="111"/>
      <c r="L58" s="111" t="s">
        <v>31</v>
      </c>
      <c r="M58" s="111"/>
      <c r="N58" s="111"/>
      <c r="O58" s="111"/>
      <c r="P58" s="111"/>
      <c r="Q58" s="111"/>
      <c r="R58" s="111"/>
      <c r="S58" s="111"/>
      <c r="T58" s="111"/>
    </row>
    <row r="59" spans="2:21" ht="30" x14ac:dyDescent="0.2">
      <c r="B59" s="58" t="s">
        <v>10</v>
      </c>
      <c r="C59" s="58" t="s">
        <v>9</v>
      </c>
      <c r="D59" s="58" t="s">
        <v>28</v>
      </c>
      <c r="E59" s="58" t="s">
        <v>27</v>
      </c>
      <c r="F59" s="58" t="s">
        <v>26</v>
      </c>
      <c r="G59" s="58" t="s">
        <v>25</v>
      </c>
      <c r="H59" s="58" t="s">
        <v>24</v>
      </c>
      <c r="I59" s="58" t="s">
        <v>5</v>
      </c>
      <c r="J59" s="58" t="s">
        <v>23</v>
      </c>
      <c r="L59" s="58" t="s">
        <v>10</v>
      </c>
      <c r="M59" s="58" t="s">
        <v>9</v>
      </c>
      <c r="N59" s="58" t="s">
        <v>28</v>
      </c>
      <c r="O59" s="58" t="s">
        <v>27</v>
      </c>
      <c r="P59" s="58" t="s">
        <v>26</v>
      </c>
      <c r="Q59" s="58" t="s">
        <v>25</v>
      </c>
      <c r="R59" s="58" t="s">
        <v>24</v>
      </c>
      <c r="S59" s="58" t="s">
        <v>5</v>
      </c>
      <c r="T59" s="58" t="s">
        <v>23</v>
      </c>
    </row>
    <row r="60" spans="2:21" ht="30" x14ac:dyDescent="0.2">
      <c r="B60" s="45" t="s">
        <v>851</v>
      </c>
      <c r="C60" s="47" t="s">
        <v>315</v>
      </c>
      <c r="D60" s="47" t="s">
        <v>440</v>
      </c>
      <c r="E60" s="47" t="s">
        <v>20</v>
      </c>
      <c r="F60" s="47" t="s">
        <v>140</v>
      </c>
      <c r="G60" s="47" t="s">
        <v>833</v>
      </c>
      <c r="H60" s="47" t="s">
        <v>833</v>
      </c>
      <c r="I60" s="47" t="s">
        <v>142</v>
      </c>
      <c r="J60" s="61"/>
      <c r="L60" s="3" t="s">
        <v>1858</v>
      </c>
      <c r="M60" s="3" t="s">
        <v>21</v>
      </c>
      <c r="N60" s="3" t="s">
        <v>179</v>
      </c>
      <c r="O60" s="3" t="s">
        <v>20</v>
      </c>
      <c r="P60" s="3" t="s">
        <v>1697</v>
      </c>
      <c r="Q60" s="3" t="s">
        <v>21</v>
      </c>
      <c r="R60" s="28" t="s">
        <v>141</v>
      </c>
      <c r="S60" s="28" t="s">
        <v>20</v>
      </c>
      <c r="T60" s="28" t="s">
        <v>20</v>
      </c>
    </row>
    <row r="61" spans="2:21" ht="30" x14ac:dyDescent="0.2">
      <c r="B61" s="45" t="s">
        <v>852</v>
      </c>
      <c r="C61" s="47" t="s">
        <v>18</v>
      </c>
      <c r="D61" s="47" t="s">
        <v>860</v>
      </c>
      <c r="E61" s="47" t="s">
        <v>16</v>
      </c>
      <c r="F61" s="47" t="s">
        <v>861</v>
      </c>
      <c r="G61" s="47" t="s">
        <v>21</v>
      </c>
      <c r="H61" s="47" t="s">
        <v>21</v>
      </c>
      <c r="I61" s="47" t="s">
        <v>20</v>
      </c>
      <c r="J61" s="61"/>
      <c r="L61" s="3" t="s">
        <v>1859</v>
      </c>
      <c r="M61" s="3" t="s">
        <v>18</v>
      </c>
      <c r="N61" s="3" t="s">
        <v>18</v>
      </c>
      <c r="O61" s="3" t="s">
        <v>20</v>
      </c>
      <c r="P61" s="3" t="s">
        <v>1697</v>
      </c>
      <c r="Q61" s="3" t="s">
        <v>21</v>
      </c>
      <c r="R61" s="28" t="s">
        <v>141</v>
      </c>
      <c r="S61" s="28" t="s">
        <v>695</v>
      </c>
      <c r="T61" s="28" t="s">
        <v>20</v>
      </c>
    </row>
    <row r="62" spans="2:21" ht="30" x14ac:dyDescent="0.2">
      <c r="B62" s="45" t="s">
        <v>853</v>
      </c>
      <c r="C62" s="47" t="s">
        <v>192</v>
      </c>
      <c r="D62" s="47" t="s">
        <v>179</v>
      </c>
      <c r="E62" s="47" t="s">
        <v>189</v>
      </c>
      <c r="F62" s="47" t="s">
        <v>861</v>
      </c>
      <c r="G62" s="47" t="s">
        <v>21</v>
      </c>
      <c r="H62" s="47" t="s">
        <v>21</v>
      </c>
      <c r="I62" s="47" t="s">
        <v>20</v>
      </c>
      <c r="J62" s="61"/>
      <c r="L62" s="3" t="s">
        <v>1860</v>
      </c>
      <c r="M62" s="3" t="s">
        <v>19</v>
      </c>
      <c r="N62" s="3" t="s">
        <v>179</v>
      </c>
      <c r="O62" s="3" t="s">
        <v>20</v>
      </c>
      <c r="P62" s="3" t="s">
        <v>1697</v>
      </c>
      <c r="Q62" s="3" t="s">
        <v>21</v>
      </c>
      <c r="R62" s="28" t="s">
        <v>141</v>
      </c>
      <c r="S62" s="28" t="s">
        <v>20</v>
      </c>
      <c r="T62" s="28" t="s">
        <v>20</v>
      </c>
    </row>
    <row r="63" spans="2:21" ht="30" x14ac:dyDescent="0.2">
      <c r="B63" s="45" t="s">
        <v>854</v>
      </c>
      <c r="C63" s="47" t="s">
        <v>192</v>
      </c>
      <c r="D63" s="47" t="s">
        <v>18</v>
      </c>
      <c r="E63" s="47" t="s">
        <v>20</v>
      </c>
      <c r="F63" s="47" t="s">
        <v>861</v>
      </c>
      <c r="G63" s="47" t="s">
        <v>21</v>
      </c>
      <c r="H63" s="47" t="s">
        <v>21</v>
      </c>
      <c r="I63" s="47" t="s">
        <v>20</v>
      </c>
      <c r="J63" s="61"/>
      <c r="L63" s="3" t="s">
        <v>1861</v>
      </c>
      <c r="M63" s="3" t="s">
        <v>18</v>
      </c>
      <c r="N63" s="3" t="s">
        <v>18</v>
      </c>
      <c r="O63" s="3" t="s">
        <v>20</v>
      </c>
      <c r="P63" s="3" t="s">
        <v>140</v>
      </c>
      <c r="Q63" s="3" t="s">
        <v>21</v>
      </c>
      <c r="R63" s="28" t="s">
        <v>141</v>
      </c>
      <c r="S63" s="28" t="s">
        <v>20</v>
      </c>
      <c r="T63" s="28" t="s">
        <v>20</v>
      </c>
    </row>
    <row r="64" spans="2:21" ht="30" x14ac:dyDescent="0.2">
      <c r="B64" s="45" t="s">
        <v>855</v>
      </c>
      <c r="C64" s="47" t="s">
        <v>16</v>
      </c>
      <c r="D64" s="47" t="s">
        <v>440</v>
      </c>
      <c r="E64" s="47" t="s">
        <v>20</v>
      </c>
      <c r="F64" s="47" t="s">
        <v>140</v>
      </c>
      <c r="G64" s="47" t="s">
        <v>21</v>
      </c>
      <c r="H64" s="47" t="s">
        <v>21</v>
      </c>
      <c r="I64" s="47" t="s">
        <v>20</v>
      </c>
      <c r="J64" s="61"/>
      <c r="L64" s="3" t="s">
        <v>1862</v>
      </c>
      <c r="M64" s="3" t="s">
        <v>315</v>
      </c>
      <c r="N64" s="3" t="s">
        <v>179</v>
      </c>
      <c r="O64" s="3" t="s">
        <v>20</v>
      </c>
      <c r="P64" s="3" t="s">
        <v>1697</v>
      </c>
      <c r="Q64" s="3" t="s">
        <v>21</v>
      </c>
      <c r="R64" s="28" t="s">
        <v>141</v>
      </c>
      <c r="S64" s="28" t="s">
        <v>20</v>
      </c>
      <c r="T64" s="28" t="s">
        <v>20</v>
      </c>
    </row>
    <row r="65" spans="2:20" ht="45" x14ac:dyDescent="0.2">
      <c r="B65" s="45" t="s">
        <v>856</v>
      </c>
      <c r="C65" s="47" t="s">
        <v>16</v>
      </c>
      <c r="D65" s="47" t="s">
        <v>101</v>
      </c>
      <c r="E65" s="47" t="s">
        <v>20</v>
      </c>
      <c r="F65" s="47" t="s">
        <v>862</v>
      </c>
      <c r="G65" s="47" t="s">
        <v>21</v>
      </c>
      <c r="H65" s="47" t="s">
        <v>21</v>
      </c>
      <c r="I65" s="47" t="s">
        <v>20</v>
      </c>
      <c r="J65" s="61"/>
      <c r="L65" s="3" t="s">
        <v>1863</v>
      </c>
      <c r="M65" s="3" t="s">
        <v>18</v>
      </c>
      <c r="N65" s="3" t="s">
        <v>18</v>
      </c>
      <c r="O65" s="3" t="s">
        <v>20</v>
      </c>
      <c r="P65" s="3" t="s">
        <v>140</v>
      </c>
      <c r="Q65" s="3" t="s">
        <v>21</v>
      </c>
      <c r="R65" s="28" t="s">
        <v>141</v>
      </c>
      <c r="S65" s="28" t="s">
        <v>20</v>
      </c>
      <c r="T65" s="28" t="s">
        <v>20</v>
      </c>
    </row>
    <row r="66" spans="2:20" ht="45" x14ac:dyDescent="0.2">
      <c r="B66" s="45" t="s">
        <v>857</v>
      </c>
      <c r="C66" s="47" t="s">
        <v>19</v>
      </c>
      <c r="D66" s="47" t="s">
        <v>829</v>
      </c>
      <c r="E66" s="47" t="s">
        <v>189</v>
      </c>
      <c r="F66" s="47" t="s">
        <v>140</v>
      </c>
      <c r="G66" s="47" t="s">
        <v>21</v>
      </c>
      <c r="H66" s="47" t="s">
        <v>21</v>
      </c>
      <c r="I66" s="47" t="s">
        <v>20</v>
      </c>
      <c r="J66" s="61"/>
      <c r="L66" s="3" t="s">
        <v>1864</v>
      </c>
      <c r="M66" s="3" t="s">
        <v>16</v>
      </c>
      <c r="N66" s="3" t="s">
        <v>179</v>
      </c>
      <c r="O66" s="3" t="s">
        <v>20</v>
      </c>
      <c r="P66" s="3" t="s">
        <v>140</v>
      </c>
      <c r="Q66" s="3" t="s">
        <v>21</v>
      </c>
      <c r="R66" s="28" t="s">
        <v>141</v>
      </c>
      <c r="S66" s="28" t="s">
        <v>695</v>
      </c>
      <c r="T66" s="28" t="s">
        <v>20</v>
      </c>
    </row>
    <row r="67" spans="2:20" ht="15" x14ac:dyDescent="0.2">
      <c r="B67" s="45" t="s">
        <v>858</v>
      </c>
      <c r="C67" s="47" t="s">
        <v>19</v>
      </c>
      <c r="D67" s="47" t="s">
        <v>179</v>
      </c>
      <c r="E67" s="47" t="s">
        <v>21</v>
      </c>
      <c r="F67" s="47" t="s">
        <v>863</v>
      </c>
      <c r="G67" s="47" t="s">
        <v>21</v>
      </c>
      <c r="H67" s="47" t="s">
        <v>21</v>
      </c>
      <c r="I67" s="47" t="s">
        <v>834</v>
      </c>
      <c r="J67" s="61"/>
      <c r="L67" s="61"/>
      <c r="M67" s="61"/>
      <c r="N67" s="61"/>
      <c r="O67" s="61"/>
      <c r="P67" s="61"/>
      <c r="Q67" s="61"/>
      <c r="R67" s="61"/>
      <c r="S67" s="61"/>
      <c r="T67" s="61"/>
    </row>
    <row r="68" spans="2:20" ht="15" x14ac:dyDescent="0.2">
      <c r="B68" s="45" t="s">
        <v>859</v>
      </c>
      <c r="C68" s="47" t="s">
        <v>18</v>
      </c>
      <c r="D68" s="47" t="s">
        <v>101</v>
      </c>
      <c r="E68" s="47" t="s">
        <v>189</v>
      </c>
      <c r="F68" s="47" t="s">
        <v>864</v>
      </c>
      <c r="G68" s="47" t="s">
        <v>21</v>
      </c>
      <c r="H68" s="47" t="s">
        <v>21</v>
      </c>
      <c r="I68" s="47" t="s">
        <v>695</v>
      </c>
      <c r="J68" s="61"/>
      <c r="L68" s="61"/>
      <c r="M68" s="61"/>
      <c r="N68" s="61"/>
      <c r="O68" s="61"/>
      <c r="P68" s="61"/>
      <c r="Q68" s="61"/>
      <c r="R68" s="61"/>
      <c r="S68" s="61"/>
      <c r="T68" s="61"/>
    </row>
    <row r="69" spans="2:20" x14ac:dyDescent="0.2">
      <c r="B69" s="61"/>
      <c r="C69" s="61"/>
      <c r="D69" s="61"/>
      <c r="E69" s="61"/>
      <c r="F69" s="61"/>
      <c r="G69" s="61"/>
      <c r="H69" s="61"/>
      <c r="I69" s="61"/>
      <c r="J69" s="61"/>
      <c r="L69" s="61"/>
      <c r="M69" s="61"/>
      <c r="N69" s="61"/>
      <c r="O69" s="61"/>
      <c r="P69" s="61"/>
      <c r="Q69" s="61"/>
      <c r="R69" s="61"/>
      <c r="S69" s="61"/>
      <c r="T69" s="61"/>
    </row>
    <row r="70" spans="2:20" x14ac:dyDescent="0.2">
      <c r="B70" s="61"/>
      <c r="C70" s="61"/>
      <c r="D70" s="61"/>
      <c r="E70" s="61"/>
      <c r="F70" s="61"/>
      <c r="G70" s="61"/>
      <c r="H70" s="61"/>
      <c r="I70" s="61"/>
      <c r="J70" s="61"/>
    </row>
    <row r="72" spans="2:20" ht="12.75" customHeight="1" x14ac:dyDescent="0.2">
      <c r="B72" s="111" t="s">
        <v>30</v>
      </c>
      <c r="C72" s="111"/>
      <c r="D72" s="111"/>
      <c r="E72" s="111"/>
      <c r="F72" s="111"/>
      <c r="G72" s="111"/>
      <c r="H72" s="111"/>
      <c r="I72" s="111"/>
      <c r="J72" s="111"/>
    </row>
    <row r="73" spans="2:20" ht="30" x14ac:dyDescent="0.2">
      <c r="B73" s="69" t="s">
        <v>29</v>
      </c>
      <c r="C73" s="69" t="s">
        <v>865</v>
      </c>
      <c r="D73" s="69" t="s">
        <v>866</v>
      </c>
      <c r="E73" s="69" t="s">
        <v>867</v>
      </c>
      <c r="F73" s="69" t="s">
        <v>868</v>
      </c>
      <c r="G73" s="69" t="s">
        <v>869</v>
      </c>
      <c r="H73" s="69" t="s">
        <v>726</v>
      </c>
      <c r="I73" s="69" t="s">
        <v>727</v>
      </c>
      <c r="J73" s="58" t="s">
        <v>882</v>
      </c>
    </row>
    <row r="74" spans="2:20" ht="30" x14ac:dyDescent="0.2">
      <c r="B74" s="45" t="s">
        <v>870</v>
      </c>
      <c r="C74" s="47" t="s">
        <v>703</v>
      </c>
      <c r="D74" s="46" t="s">
        <v>871</v>
      </c>
      <c r="E74" s="47" t="s">
        <v>872</v>
      </c>
      <c r="F74" s="46" t="s">
        <v>873</v>
      </c>
      <c r="G74" s="47" t="s">
        <v>874</v>
      </c>
      <c r="H74" s="46" t="s">
        <v>875</v>
      </c>
      <c r="I74" s="47" t="s">
        <v>703</v>
      </c>
      <c r="J74" s="61" t="s">
        <v>730</v>
      </c>
    </row>
    <row r="75" spans="2:20" ht="15" x14ac:dyDescent="0.2">
      <c r="B75" s="45" t="s">
        <v>876</v>
      </c>
      <c r="C75" s="47" t="s">
        <v>710</v>
      </c>
      <c r="D75" s="47" t="s">
        <v>877</v>
      </c>
      <c r="E75" s="46" t="s">
        <v>878</v>
      </c>
      <c r="F75" s="46" t="s">
        <v>879</v>
      </c>
      <c r="G75" s="46" t="s">
        <v>880</v>
      </c>
      <c r="H75" s="46" t="s">
        <v>881</v>
      </c>
      <c r="I75" s="47" t="s">
        <v>710</v>
      </c>
      <c r="J75" s="61" t="s">
        <v>730</v>
      </c>
    </row>
    <row r="76" spans="2:20" x14ac:dyDescent="0.2">
      <c r="B76" s="36"/>
      <c r="C76" s="67"/>
      <c r="D76" s="36"/>
      <c r="E76" s="36"/>
      <c r="F76" s="36"/>
      <c r="G76" s="36"/>
      <c r="H76" s="36"/>
      <c r="I76" s="36"/>
      <c r="J76" s="36"/>
    </row>
    <row r="77" spans="2:20" x14ac:dyDescent="0.2">
      <c r="B77" s="36"/>
      <c r="C77" s="65"/>
      <c r="D77" s="36"/>
      <c r="E77" s="36"/>
      <c r="F77" s="36"/>
      <c r="G77" s="36"/>
      <c r="H77" s="36"/>
      <c r="I77" s="36"/>
      <c r="J77" s="36"/>
    </row>
    <row r="78" spans="2:20" x14ac:dyDescent="0.2">
      <c r="B78" s="36"/>
      <c r="C78" s="36"/>
      <c r="D78" s="65"/>
      <c r="E78" s="36"/>
      <c r="F78" s="36"/>
      <c r="G78" s="36"/>
      <c r="H78" s="36"/>
      <c r="I78" s="36"/>
      <c r="J78" s="36"/>
    </row>
    <row r="79" spans="2:20" x14ac:dyDescent="0.2">
      <c r="B79" s="36"/>
      <c r="C79" s="65"/>
      <c r="D79" s="36"/>
      <c r="E79" s="36"/>
      <c r="F79" s="36"/>
      <c r="G79" s="36"/>
      <c r="H79" s="36"/>
      <c r="I79" s="36"/>
      <c r="J79" s="36"/>
    </row>
    <row r="80" spans="2:20" x14ac:dyDescent="0.2">
      <c r="B80" s="36"/>
      <c r="C80" s="36"/>
      <c r="D80" s="36"/>
      <c r="E80" s="36"/>
      <c r="F80" s="36"/>
      <c r="G80" s="36"/>
      <c r="H80" s="36"/>
      <c r="I80" s="36"/>
      <c r="J80" s="36"/>
    </row>
    <row r="82" spans="2:11" ht="12.75" customHeight="1" x14ac:dyDescent="0.2">
      <c r="B82" s="114" t="s">
        <v>15</v>
      </c>
      <c r="C82" s="114"/>
      <c r="D82" s="114"/>
      <c r="E82" s="114"/>
      <c r="F82" s="114"/>
      <c r="G82" s="114"/>
      <c r="H82" s="114"/>
    </row>
    <row r="83" spans="2:11" ht="13.75" customHeight="1" x14ac:dyDescent="0.2">
      <c r="B83" s="64" t="s">
        <v>10</v>
      </c>
      <c r="C83" s="64" t="s">
        <v>9</v>
      </c>
      <c r="D83" s="64" t="s">
        <v>14</v>
      </c>
      <c r="E83" s="64" t="s">
        <v>7</v>
      </c>
      <c r="F83" s="64" t="s">
        <v>13</v>
      </c>
      <c r="G83" s="64" t="s">
        <v>5</v>
      </c>
      <c r="H83" s="64" t="s">
        <v>12</v>
      </c>
      <c r="J83" s="105" t="s">
        <v>11</v>
      </c>
      <c r="K83" s="106"/>
    </row>
    <row r="84" spans="2:11" ht="13.75" customHeight="1" x14ac:dyDescent="0.2">
      <c r="B84" s="58" t="s">
        <v>10</v>
      </c>
      <c r="C84" s="58" t="s">
        <v>9</v>
      </c>
      <c r="D84" s="58" t="s">
        <v>8</v>
      </c>
      <c r="E84" s="58" t="s">
        <v>7</v>
      </c>
      <c r="F84" s="58" t="s">
        <v>6</v>
      </c>
      <c r="G84" s="58" t="s">
        <v>5</v>
      </c>
      <c r="H84" s="58" t="s">
        <v>4</v>
      </c>
      <c r="J84" s="105" t="s">
        <v>3</v>
      </c>
      <c r="K84" s="106"/>
    </row>
    <row r="85" spans="2:11" ht="13.75" customHeight="1" x14ac:dyDescent="0.2">
      <c r="B85" s="45" t="s">
        <v>809</v>
      </c>
      <c r="C85" s="47">
        <v>3</v>
      </c>
      <c r="D85" s="47">
        <v>5</v>
      </c>
      <c r="E85" s="47">
        <v>4</v>
      </c>
      <c r="F85" s="47">
        <v>3</v>
      </c>
      <c r="G85" s="47">
        <v>5</v>
      </c>
      <c r="H85" s="66"/>
      <c r="J85" s="105" t="s">
        <v>2</v>
      </c>
      <c r="K85" s="106"/>
    </row>
    <row r="86" spans="2:11" ht="13.75" customHeight="1" x14ac:dyDescent="0.2">
      <c r="B86" s="45" t="s">
        <v>883</v>
      </c>
      <c r="C86" s="47">
        <v>3</v>
      </c>
      <c r="D86" s="47">
        <v>5</v>
      </c>
      <c r="E86" s="47">
        <v>3</v>
      </c>
      <c r="F86" s="47">
        <v>2</v>
      </c>
      <c r="G86" s="47">
        <v>4</v>
      </c>
      <c r="H86" s="66"/>
      <c r="J86" s="105" t="s">
        <v>1</v>
      </c>
      <c r="K86" s="106"/>
    </row>
    <row r="87" spans="2:11" ht="30" x14ac:dyDescent="0.2">
      <c r="B87" s="45" t="s">
        <v>884</v>
      </c>
      <c r="C87" s="47">
        <v>3</v>
      </c>
      <c r="D87" s="47">
        <v>5</v>
      </c>
      <c r="E87" s="47">
        <v>3</v>
      </c>
      <c r="F87" s="47">
        <v>3</v>
      </c>
      <c r="G87" s="47">
        <v>3</v>
      </c>
      <c r="H87" s="66"/>
      <c r="J87" s="106" t="s">
        <v>0</v>
      </c>
      <c r="K87" s="106"/>
    </row>
    <row r="88" spans="2:11" ht="30" x14ac:dyDescent="0.2">
      <c r="B88" s="45" t="s">
        <v>885</v>
      </c>
      <c r="C88" s="47">
        <v>5</v>
      </c>
      <c r="D88" s="47">
        <v>4</v>
      </c>
      <c r="E88" s="47">
        <v>5</v>
      </c>
      <c r="F88" s="47">
        <v>4</v>
      </c>
      <c r="G88" s="47">
        <v>4</v>
      </c>
      <c r="H88" s="66"/>
    </row>
    <row r="89" spans="2:11" ht="30" x14ac:dyDescent="0.2">
      <c r="B89" s="45" t="s">
        <v>886</v>
      </c>
      <c r="C89" s="47">
        <v>3</v>
      </c>
      <c r="D89" s="47">
        <v>5</v>
      </c>
      <c r="E89" s="47">
        <v>3</v>
      </c>
      <c r="F89" s="47">
        <v>3</v>
      </c>
      <c r="G89" s="47">
        <v>3</v>
      </c>
      <c r="H89" s="66"/>
    </row>
    <row r="90" spans="2:11" ht="30" x14ac:dyDescent="0.2">
      <c r="B90" s="45" t="s">
        <v>887</v>
      </c>
      <c r="C90" s="47">
        <v>5</v>
      </c>
      <c r="D90" s="47">
        <v>4</v>
      </c>
      <c r="E90" s="47">
        <v>5</v>
      </c>
      <c r="F90" s="47">
        <v>4</v>
      </c>
      <c r="G90" s="47">
        <v>3</v>
      </c>
      <c r="H90" s="66"/>
    </row>
    <row r="91" spans="2:11" ht="30" x14ac:dyDescent="0.2">
      <c r="B91" s="45" t="s">
        <v>888</v>
      </c>
      <c r="C91" s="47">
        <v>4</v>
      </c>
      <c r="D91" s="47">
        <v>3</v>
      </c>
      <c r="E91" s="47">
        <v>4</v>
      </c>
      <c r="F91" s="47">
        <v>4</v>
      </c>
      <c r="G91" s="47">
        <v>3</v>
      </c>
      <c r="H91" s="66"/>
    </row>
    <row r="92" spans="2:11" ht="20.75" customHeight="1" x14ac:dyDescent="0.2">
      <c r="B92" s="45" t="s">
        <v>449</v>
      </c>
      <c r="C92" s="47">
        <v>1</v>
      </c>
      <c r="D92" s="47">
        <v>4</v>
      </c>
      <c r="E92" s="47">
        <v>2</v>
      </c>
      <c r="F92" s="47">
        <v>1</v>
      </c>
      <c r="G92" s="47">
        <v>3</v>
      </c>
      <c r="H92" s="66"/>
    </row>
    <row r="93" spans="2:11" ht="20.75" customHeight="1" x14ac:dyDescent="0.2">
      <c r="B93" s="45" t="s">
        <v>889</v>
      </c>
      <c r="C93" s="47">
        <v>1</v>
      </c>
      <c r="D93" s="47">
        <v>3</v>
      </c>
      <c r="E93" s="47">
        <v>2</v>
      </c>
      <c r="F93" s="47">
        <v>2</v>
      </c>
      <c r="G93" s="47">
        <v>2</v>
      </c>
      <c r="H93" s="66"/>
    </row>
    <row r="94" spans="2:11" ht="20.75" customHeight="1" x14ac:dyDescent="0.2">
      <c r="B94" s="61"/>
      <c r="C94" s="61"/>
      <c r="D94" s="61"/>
      <c r="E94" s="61"/>
      <c r="F94" s="61"/>
      <c r="G94" s="61"/>
      <c r="H94" s="66"/>
    </row>
    <row r="95" spans="2:11" ht="20.75" customHeight="1" x14ac:dyDescent="0.2"/>
    <row r="96" spans="2:11" ht="29.5" customHeight="1" x14ac:dyDescent="0.2"/>
    <row r="102" spans="1:14" x14ac:dyDescent="0.2">
      <c r="A102" s="90" t="s">
        <v>1616</v>
      </c>
      <c r="B102" s="88"/>
      <c r="C102" s="88"/>
      <c r="D102" s="88"/>
      <c r="E102" s="88"/>
      <c r="F102" s="88"/>
      <c r="G102" s="88"/>
      <c r="H102" s="88"/>
      <c r="I102" s="88"/>
      <c r="J102" s="88"/>
      <c r="K102" s="88"/>
      <c r="L102" s="88"/>
      <c r="M102" s="88"/>
      <c r="N102" s="89"/>
    </row>
    <row r="103" spans="1:14" x14ac:dyDescent="0.2">
      <c r="A103" s="87" t="s">
        <v>1583</v>
      </c>
      <c r="B103" s="88"/>
      <c r="C103" s="88"/>
      <c r="D103" s="88"/>
      <c r="E103" s="88"/>
      <c r="F103" s="88"/>
      <c r="G103" s="88"/>
      <c r="H103" s="88"/>
      <c r="I103" s="88"/>
      <c r="J103" s="88"/>
      <c r="K103" s="88"/>
      <c r="L103" s="88"/>
      <c r="M103" s="88"/>
      <c r="N103" s="89"/>
    </row>
    <row r="104" spans="1:14" x14ac:dyDescent="0.2">
      <c r="A104" s="87" t="s">
        <v>1584</v>
      </c>
      <c r="B104" s="88"/>
      <c r="C104" s="88"/>
      <c r="D104" s="88"/>
      <c r="E104" s="88"/>
      <c r="F104" s="88"/>
      <c r="G104" s="88"/>
      <c r="H104" s="88"/>
      <c r="I104" s="88"/>
      <c r="J104" s="88"/>
      <c r="K104" s="88"/>
      <c r="L104" s="88"/>
      <c r="M104" s="88"/>
      <c r="N104" s="89"/>
    </row>
    <row r="105" spans="1:14" x14ac:dyDescent="0.2">
      <c r="A105" s="87" t="s">
        <v>1585</v>
      </c>
      <c r="B105" s="88"/>
      <c r="C105" s="88"/>
      <c r="D105" s="88"/>
      <c r="E105" s="88"/>
      <c r="F105" s="88"/>
      <c r="G105" s="88"/>
      <c r="H105" s="88"/>
      <c r="I105" s="88"/>
      <c r="J105" s="88"/>
      <c r="K105" s="88"/>
      <c r="L105" s="88"/>
      <c r="M105" s="88"/>
      <c r="N105" s="89"/>
    </row>
    <row r="106" spans="1:14" x14ac:dyDescent="0.2">
      <c r="A106" s="87" t="s">
        <v>1586</v>
      </c>
      <c r="B106" s="88"/>
      <c r="C106" s="88"/>
      <c r="D106" s="88"/>
      <c r="E106" s="88"/>
      <c r="F106" s="88"/>
      <c r="G106" s="88"/>
      <c r="H106" s="88"/>
      <c r="I106" s="88"/>
      <c r="J106" s="88"/>
      <c r="K106" s="88"/>
      <c r="L106" s="88"/>
      <c r="M106" s="88"/>
      <c r="N106" s="89"/>
    </row>
    <row r="107" spans="1:14" x14ac:dyDescent="0.2">
      <c r="A107" s="87" t="s">
        <v>1587</v>
      </c>
      <c r="B107" s="88"/>
      <c r="C107" s="88"/>
      <c r="D107" s="88"/>
      <c r="E107" s="88"/>
      <c r="F107" s="88"/>
      <c r="G107" s="88"/>
      <c r="H107" s="88"/>
      <c r="I107" s="88"/>
      <c r="J107" s="88"/>
      <c r="K107" s="88"/>
      <c r="L107" s="88"/>
      <c r="M107" s="88"/>
      <c r="N107" s="89"/>
    </row>
    <row r="108" spans="1:14" x14ac:dyDescent="0.2">
      <c r="A108" s="87" t="s">
        <v>1588</v>
      </c>
      <c r="B108" s="88"/>
      <c r="C108" s="88"/>
      <c r="D108" s="88"/>
      <c r="E108" s="88"/>
      <c r="F108" s="88"/>
      <c r="G108" s="88"/>
      <c r="H108" s="88"/>
      <c r="I108" s="88"/>
      <c r="J108" s="88"/>
      <c r="K108" s="88"/>
      <c r="L108" s="88"/>
      <c r="M108" s="88"/>
      <c r="N108" s="89"/>
    </row>
    <row r="109" spans="1:14" x14ac:dyDescent="0.2">
      <c r="A109" s="87" t="s">
        <v>1589</v>
      </c>
      <c r="B109" s="88"/>
      <c r="C109" s="88"/>
      <c r="D109" s="88"/>
      <c r="E109" s="88"/>
      <c r="F109" s="88"/>
      <c r="G109" s="88"/>
      <c r="H109" s="88"/>
      <c r="I109" s="88"/>
      <c r="J109" s="88"/>
      <c r="K109" s="88"/>
      <c r="L109" s="88"/>
      <c r="M109" s="88"/>
      <c r="N109" s="89"/>
    </row>
  </sheetData>
  <mergeCells count="45">
    <mergeCell ref="C6:E6"/>
    <mergeCell ref="C7:E7"/>
    <mergeCell ref="B10:E10"/>
    <mergeCell ref="C15:E15"/>
    <mergeCell ref="C16:E16"/>
    <mergeCell ref="B1:E1"/>
    <mergeCell ref="C2:E2"/>
    <mergeCell ref="C3:E3"/>
    <mergeCell ref="C4:E4"/>
    <mergeCell ref="C5:E5"/>
    <mergeCell ref="G10:I10"/>
    <mergeCell ref="C11:E11"/>
    <mergeCell ref="C12:E12"/>
    <mergeCell ref="C14:E14"/>
    <mergeCell ref="C13:E13"/>
    <mergeCell ref="C17:E17"/>
    <mergeCell ref="B20:E20"/>
    <mergeCell ref="B34:E34"/>
    <mergeCell ref="G34:J34"/>
    <mergeCell ref="C35:E35"/>
    <mergeCell ref="H35:J35"/>
    <mergeCell ref="L58:T58"/>
    <mergeCell ref="C36:E36"/>
    <mergeCell ref="H36:J36"/>
    <mergeCell ref="C37:E37"/>
    <mergeCell ref="H37:J37"/>
    <mergeCell ref="C38:E38"/>
    <mergeCell ref="H38:J38"/>
    <mergeCell ref="J84:K84"/>
    <mergeCell ref="J85:K85"/>
    <mergeCell ref="J86:K86"/>
    <mergeCell ref="J87:K87"/>
    <mergeCell ref="H39:J39"/>
    <mergeCell ref="B58:J58"/>
    <mergeCell ref="B72:J72"/>
    <mergeCell ref="B82:H82"/>
    <mergeCell ref="J83:K83"/>
    <mergeCell ref="A107:N107"/>
    <mergeCell ref="A108:N108"/>
    <mergeCell ref="A109:N109"/>
    <mergeCell ref="A102:N102"/>
    <mergeCell ref="A103:N103"/>
    <mergeCell ref="A104:N104"/>
    <mergeCell ref="A105:N105"/>
    <mergeCell ref="A106:N106"/>
  </mergeCells>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70E9-6B8B-4415-80AF-23C9A6203BE0}">
  <dimension ref="A1:V113"/>
  <sheetViews>
    <sheetView topLeftCell="A93" zoomScale="150" workbookViewId="0">
      <selection activeCell="A108" sqref="A108:N108"/>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890</v>
      </c>
      <c r="D2" s="101"/>
      <c r="E2" s="101"/>
    </row>
    <row r="3" spans="2:9" ht="12.75" customHeight="1" x14ac:dyDescent="0.2">
      <c r="B3" s="13" t="s">
        <v>69</v>
      </c>
      <c r="C3" s="101" t="s">
        <v>891</v>
      </c>
      <c r="D3" s="101"/>
      <c r="E3" s="101"/>
    </row>
    <row r="4" spans="2:9" ht="12.75" customHeight="1" x14ac:dyDescent="0.2">
      <c r="B4" s="13" t="s">
        <v>68</v>
      </c>
      <c r="C4" s="101" t="s">
        <v>892</v>
      </c>
      <c r="D4" s="101"/>
      <c r="E4" s="101"/>
    </row>
    <row r="5" spans="2:9" ht="12.75" customHeight="1" x14ac:dyDescent="0.2">
      <c r="B5" s="13" t="s">
        <v>67</v>
      </c>
      <c r="C5" s="101" t="s">
        <v>893</v>
      </c>
      <c r="D5" s="101"/>
      <c r="E5" s="101"/>
    </row>
    <row r="6" spans="2:9" ht="12.75" customHeight="1" x14ac:dyDescent="0.2">
      <c r="B6" s="13" t="s">
        <v>66</v>
      </c>
      <c r="C6" s="101" t="s">
        <v>894</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40" t="s">
        <v>895</v>
      </c>
      <c r="C11" s="99" t="s">
        <v>903</v>
      </c>
      <c r="D11" s="99"/>
      <c r="E11" s="99"/>
      <c r="G11" s="4" t="s">
        <v>62</v>
      </c>
      <c r="H11" s="4" t="s">
        <v>61</v>
      </c>
      <c r="I11" s="4" t="s">
        <v>60</v>
      </c>
    </row>
    <row r="12" spans="2:9" ht="45" customHeight="1" x14ac:dyDescent="0.2">
      <c r="B12" s="40" t="s">
        <v>896</v>
      </c>
      <c r="C12" s="99" t="s">
        <v>904</v>
      </c>
      <c r="D12" s="99"/>
      <c r="E12" s="99"/>
      <c r="G12" s="19">
        <v>1</v>
      </c>
      <c r="H12" s="23" t="s">
        <v>911</v>
      </c>
      <c r="I12" s="19" t="s">
        <v>918</v>
      </c>
    </row>
    <row r="13" spans="2:9" ht="62.25" customHeight="1" x14ac:dyDescent="0.2">
      <c r="B13" s="40" t="s">
        <v>897</v>
      </c>
      <c r="C13" s="99" t="s">
        <v>905</v>
      </c>
      <c r="D13" s="99"/>
      <c r="E13" s="99"/>
      <c r="G13" s="19">
        <v>2</v>
      </c>
      <c r="H13" s="23" t="s">
        <v>912</v>
      </c>
      <c r="I13" s="19" t="s">
        <v>919</v>
      </c>
    </row>
    <row r="14" spans="2:9" ht="54.75" customHeight="1" x14ac:dyDescent="0.2">
      <c r="B14" s="40" t="s">
        <v>898</v>
      </c>
      <c r="C14" s="99" t="s">
        <v>906</v>
      </c>
      <c r="D14" s="99"/>
      <c r="E14" s="99"/>
      <c r="G14" s="19">
        <v>3</v>
      </c>
      <c r="H14" s="23" t="s">
        <v>913</v>
      </c>
      <c r="I14" s="19" t="s">
        <v>920</v>
      </c>
    </row>
    <row r="15" spans="2:9" ht="54.75" customHeight="1" x14ac:dyDescent="0.2">
      <c r="B15" s="40" t="s">
        <v>899</v>
      </c>
      <c r="C15" s="99" t="s">
        <v>907</v>
      </c>
      <c r="D15" s="99"/>
      <c r="E15" s="99"/>
      <c r="G15" s="19">
        <v>4</v>
      </c>
      <c r="H15" s="23" t="s">
        <v>914</v>
      </c>
      <c r="I15" s="19" t="s">
        <v>921</v>
      </c>
    </row>
    <row r="16" spans="2:9" ht="54.75" customHeight="1" x14ac:dyDescent="0.2">
      <c r="B16" s="40" t="s">
        <v>900</v>
      </c>
      <c r="C16" s="99" t="s">
        <v>908</v>
      </c>
      <c r="D16" s="99"/>
      <c r="E16" s="99"/>
      <c r="G16" s="19">
        <v>5</v>
      </c>
      <c r="H16" s="23" t="s">
        <v>915</v>
      </c>
      <c r="I16" s="19" t="s">
        <v>922</v>
      </c>
    </row>
    <row r="17" spans="2:9" ht="54.75" customHeight="1" x14ac:dyDescent="0.2">
      <c r="B17" s="40" t="s">
        <v>901</v>
      </c>
      <c r="C17" s="99" t="s">
        <v>909</v>
      </c>
      <c r="D17" s="99"/>
      <c r="E17" s="99"/>
      <c r="G17" s="19">
        <v>6</v>
      </c>
      <c r="H17" s="23" t="s">
        <v>916</v>
      </c>
      <c r="I17" s="19" t="s">
        <v>923</v>
      </c>
    </row>
    <row r="18" spans="2:9" ht="54.75" customHeight="1" x14ac:dyDescent="0.2">
      <c r="B18" s="40" t="s">
        <v>902</v>
      </c>
      <c r="C18" s="99" t="s">
        <v>910</v>
      </c>
      <c r="D18" s="99"/>
      <c r="E18" s="99"/>
      <c r="G18" s="19">
        <v>7</v>
      </c>
      <c r="H18" s="23" t="s">
        <v>917</v>
      </c>
      <c r="I18" s="19" t="s">
        <v>924</v>
      </c>
    </row>
    <row r="19" spans="2:9" x14ac:dyDescent="0.2">
      <c r="G19" s="19">
        <v>8</v>
      </c>
      <c r="H19" s="19"/>
      <c r="I19" s="19"/>
    </row>
    <row r="20" spans="2:9" ht="12.75" customHeight="1" x14ac:dyDescent="0.2">
      <c r="B20" s="96" t="s">
        <v>58</v>
      </c>
      <c r="C20" s="96"/>
      <c r="D20" s="96"/>
      <c r="E20" s="96"/>
      <c r="G20" s="19">
        <v>9</v>
      </c>
      <c r="H20" s="19"/>
      <c r="I20" s="19"/>
    </row>
    <row r="21" spans="2:9" ht="15" x14ac:dyDescent="0.2">
      <c r="B21" s="4" t="s">
        <v>57</v>
      </c>
      <c r="C21" s="4" t="s">
        <v>56</v>
      </c>
      <c r="D21" s="4" t="s">
        <v>57</v>
      </c>
      <c r="E21" s="4" t="s">
        <v>56</v>
      </c>
      <c r="G21" s="19">
        <v>10</v>
      </c>
      <c r="H21" s="19"/>
      <c r="I21" s="19"/>
    </row>
    <row r="22" spans="2:9" ht="30" x14ac:dyDescent="0.2">
      <c r="B22" s="3" t="s">
        <v>9</v>
      </c>
      <c r="C22" s="23" t="s">
        <v>925</v>
      </c>
      <c r="D22" s="25" t="s">
        <v>934</v>
      </c>
      <c r="E22" s="23" t="s">
        <v>943</v>
      </c>
      <c r="G22" s="19">
        <v>11</v>
      </c>
      <c r="H22" s="19"/>
      <c r="I22" s="19"/>
    </row>
    <row r="23" spans="2:9" ht="60" x14ac:dyDescent="0.2">
      <c r="B23" s="3" t="s">
        <v>28</v>
      </c>
      <c r="C23" s="23" t="s">
        <v>926</v>
      </c>
      <c r="D23" s="25" t="s">
        <v>935</v>
      </c>
      <c r="E23" s="23" t="s">
        <v>1895</v>
      </c>
      <c r="G23" s="19">
        <v>12</v>
      </c>
      <c r="H23" s="19"/>
      <c r="I23" s="19"/>
    </row>
    <row r="24" spans="2:9" ht="30" x14ac:dyDescent="0.2">
      <c r="B24" s="3" t="s">
        <v>27</v>
      </c>
      <c r="C24" s="23" t="s">
        <v>927</v>
      </c>
      <c r="D24" s="25" t="s">
        <v>936</v>
      </c>
      <c r="E24" s="23" t="s">
        <v>944</v>
      </c>
      <c r="G24" s="18"/>
      <c r="H24" s="6"/>
      <c r="I24" s="6"/>
    </row>
    <row r="25" spans="2:9" ht="60" x14ac:dyDescent="0.2">
      <c r="B25" s="3" t="s">
        <v>55</v>
      </c>
      <c r="C25" s="23" t="s">
        <v>928</v>
      </c>
      <c r="D25" s="25" t="s">
        <v>937</v>
      </c>
      <c r="E25" s="23" t="s">
        <v>945</v>
      </c>
      <c r="G25" s="18"/>
      <c r="H25" s="6"/>
      <c r="I25" s="6"/>
    </row>
    <row r="26" spans="2:9" ht="45" x14ac:dyDescent="0.2">
      <c r="B26" s="3" t="s">
        <v>24</v>
      </c>
      <c r="C26" s="23" t="s">
        <v>929</v>
      </c>
      <c r="D26" s="25" t="s">
        <v>938</v>
      </c>
      <c r="E26" s="23" t="s">
        <v>1897</v>
      </c>
      <c r="G26" s="18"/>
      <c r="H26" s="6"/>
      <c r="I26" s="6"/>
    </row>
    <row r="27" spans="2:9" ht="60" x14ac:dyDescent="0.2">
      <c r="B27" s="3" t="s">
        <v>26</v>
      </c>
      <c r="C27" s="23" t="s">
        <v>930</v>
      </c>
      <c r="D27" s="25" t="s">
        <v>939</v>
      </c>
      <c r="E27" s="26" t="s">
        <v>946</v>
      </c>
      <c r="G27" s="6"/>
      <c r="H27" s="6"/>
      <c r="I27" s="6"/>
    </row>
    <row r="28" spans="2:9" ht="30" x14ac:dyDescent="0.2">
      <c r="B28" s="3" t="s">
        <v>25</v>
      </c>
      <c r="C28" s="23" t="s">
        <v>931</v>
      </c>
      <c r="D28" s="25" t="s">
        <v>940</v>
      </c>
      <c r="E28" s="23" t="s">
        <v>947</v>
      </c>
      <c r="G28" s="6"/>
      <c r="H28" s="6"/>
      <c r="I28" s="6"/>
    </row>
    <row r="29" spans="2:9" ht="60" x14ac:dyDescent="0.2">
      <c r="B29" s="3" t="s">
        <v>5</v>
      </c>
      <c r="C29" s="23" t="s">
        <v>932</v>
      </c>
      <c r="D29" s="25" t="s">
        <v>941</v>
      </c>
      <c r="E29" s="23" t="s">
        <v>948</v>
      </c>
      <c r="G29" s="6"/>
      <c r="H29" s="6"/>
      <c r="I29" s="6"/>
    </row>
    <row r="30" spans="2:9" ht="45" x14ac:dyDescent="0.2">
      <c r="B30" s="3" t="s">
        <v>23</v>
      </c>
      <c r="C30" s="23" t="s">
        <v>933</v>
      </c>
      <c r="D30" s="25" t="s">
        <v>942</v>
      </c>
      <c r="E30" s="23" t="s">
        <v>949</v>
      </c>
      <c r="G30" s="6"/>
      <c r="H30" s="6"/>
      <c r="I30" s="6"/>
    </row>
    <row r="32" spans="2:9" ht="17" x14ac:dyDescent="0.2">
      <c r="B32" s="16" t="s">
        <v>54</v>
      </c>
      <c r="G32" s="16" t="s">
        <v>53</v>
      </c>
    </row>
    <row r="34" spans="2:22" ht="12.75" customHeight="1" x14ac:dyDescent="0.2">
      <c r="B34" s="98" t="s">
        <v>52</v>
      </c>
      <c r="C34" s="98"/>
      <c r="D34" s="98"/>
      <c r="E34" s="98"/>
      <c r="G34" s="98" t="s">
        <v>51</v>
      </c>
      <c r="H34" s="98"/>
      <c r="I34" s="98"/>
      <c r="J34" s="98"/>
    </row>
    <row r="35" spans="2:22" ht="60" customHeight="1" x14ac:dyDescent="0.2">
      <c r="B35" s="6" t="s">
        <v>50</v>
      </c>
      <c r="C35" s="99" t="s">
        <v>950</v>
      </c>
      <c r="D35" s="99"/>
      <c r="E35" s="99"/>
      <c r="G35" s="6" t="s">
        <v>49</v>
      </c>
      <c r="H35" s="99"/>
      <c r="I35" s="99"/>
      <c r="J35" s="99"/>
    </row>
    <row r="36" spans="2:22" ht="65.5" customHeight="1" x14ac:dyDescent="0.2">
      <c r="B36" s="6" t="s">
        <v>48</v>
      </c>
      <c r="C36" s="99" t="s">
        <v>951</v>
      </c>
      <c r="D36" s="99"/>
      <c r="E36" s="99"/>
      <c r="G36" s="6" t="s">
        <v>47</v>
      </c>
      <c r="H36" s="99"/>
      <c r="I36" s="99"/>
      <c r="J36" s="99"/>
    </row>
    <row r="37" spans="2:22" ht="53.5" customHeight="1" x14ac:dyDescent="0.2">
      <c r="B37" s="6" t="s">
        <v>46</v>
      </c>
      <c r="C37" s="100" t="s">
        <v>1896</v>
      </c>
      <c r="D37" s="100"/>
      <c r="E37" s="100"/>
      <c r="G37" s="6" t="s">
        <v>45</v>
      </c>
      <c r="H37" s="100"/>
      <c r="I37" s="100"/>
      <c r="J37" s="100"/>
    </row>
    <row r="38" spans="2:22" ht="67" customHeight="1" x14ac:dyDescent="0.2">
      <c r="B38" s="6" t="s">
        <v>44</v>
      </c>
      <c r="C38" s="101" t="s">
        <v>952</v>
      </c>
      <c r="D38" s="101"/>
      <c r="E38" s="101"/>
      <c r="G38" s="6" t="s">
        <v>43</v>
      </c>
      <c r="H38" s="101"/>
      <c r="I38" s="101"/>
      <c r="J38" s="101"/>
    </row>
    <row r="39" spans="2:22" ht="67" customHeight="1" x14ac:dyDescent="0.2">
      <c r="C39" s="17"/>
      <c r="D39" s="17"/>
      <c r="E39" s="17"/>
      <c r="G39" s="6" t="s">
        <v>42</v>
      </c>
      <c r="H39" s="93"/>
      <c r="I39" s="94"/>
      <c r="J39" s="95"/>
    </row>
    <row r="41" spans="2:22" ht="68" x14ac:dyDescent="0.2">
      <c r="B41" s="16" t="s">
        <v>41</v>
      </c>
      <c r="O41" s="16" t="s">
        <v>40</v>
      </c>
      <c r="P41" s="1"/>
      <c r="Q41" s="1"/>
      <c r="R41" s="1"/>
      <c r="S41" s="1"/>
      <c r="T41" s="1"/>
      <c r="U41" s="1"/>
      <c r="V41" s="1"/>
    </row>
    <row r="42" spans="2:22" x14ac:dyDescent="0.2">
      <c r="O42" s="1"/>
      <c r="P42" s="1"/>
      <c r="Q42" s="1"/>
      <c r="R42" s="1"/>
      <c r="S42" s="1"/>
      <c r="T42" s="1"/>
      <c r="U42" s="1"/>
      <c r="V42" s="1"/>
    </row>
    <row r="43" spans="2:22" ht="30" x14ac:dyDescent="0.2">
      <c r="B43" s="15" t="s">
        <v>39</v>
      </c>
      <c r="C43" s="15" t="s">
        <v>38</v>
      </c>
      <c r="D43" s="15">
        <v>2</v>
      </c>
      <c r="E43" s="15">
        <v>3</v>
      </c>
      <c r="F43" s="15">
        <v>4</v>
      </c>
      <c r="G43" s="15">
        <v>5</v>
      </c>
      <c r="H43" s="15">
        <v>6</v>
      </c>
      <c r="I43" s="15">
        <v>7</v>
      </c>
      <c r="J43" s="15">
        <v>8</v>
      </c>
      <c r="K43" s="15">
        <v>9</v>
      </c>
      <c r="L43" s="15">
        <v>10</v>
      </c>
      <c r="O43" s="15" t="s">
        <v>39</v>
      </c>
      <c r="P43" s="15" t="s">
        <v>38</v>
      </c>
      <c r="Q43" s="15">
        <v>2</v>
      </c>
      <c r="R43" s="15">
        <v>3</v>
      </c>
      <c r="S43" s="15">
        <v>4</v>
      </c>
      <c r="T43" s="15">
        <v>5</v>
      </c>
      <c r="U43" s="15">
        <v>6</v>
      </c>
      <c r="V43" s="15">
        <v>7</v>
      </c>
    </row>
    <row r="44" spans="2:22" ht="123" customHeight="1" x14ac:dyDescent="0.2">
      <c r="B44" s="5" t="s">
        <v>37</v>
      </c>
      <c r="C44" s="5" t="s">
        <v>953</v>
      </c>
      <c r="D44" s="5" t="s">
        <v>954</v>
      </c>
      <c r="E44" s="5" t="s">
        <v>955</v>
      </c>
      <c r="F44" s="5" t="s">
        <v>956</v>
      </c>
      <c r="G44" s="5" t="s">
        <v>957</v>
      </c>
      <c r="H44" s="5" t="s">
        <v>958</v>
      </c>
      <c r="I44" s="5" t="s">
        <v>959</v>
      </c>
      <c r="J44" s="5" t="s">
        <v>960</v>
      </c>
      <c r="K44" s="5" t="s">
        <v>961</v>
      </c>
      <c r="L44" s="5" t="s">
        <v>962</v>
      </c>
      <c r="O44" s="5" t="s">
        <v>37</v>
      </c>
      <c r="P44" s="85" t="s">
        <v>1754</v>
      </c>
      <c r="Q44" s="85" t="s">
        <v>1755</v>
      </c>
      <c r="R44" s="84" t="s">
        <v>1756</v>
      </c>
      <c r="S44" s="85" t="s">
        <v>1757</v>
      </c>
      <c r="T44" s="85" t="s">
        <v>1766</v>
      </c>
      <c r="U44" s="14"/>
      <c r="V44" s="14"/>
    </row>
    <row r="45" spans="2:22" ht="180" x14ac:dyDescent="0.2">
      <c r="B45" s="13" t="s">
        <v>36</v>
      </c>
      <c r="C45" s="22" t="s">
        <v>963</v>
      </c>
      <c r="D45" s="22" t="s">
        <v>964</v>
      </c>
      <c r="E45" s="22" t="s">
        <v>965</v>
      </c>
      <c r="F45" s="22" t="s">
        <v>966</v>
      </c>
      <c r="G45" s="22" t="s">
        <v>967</v>
      </c>
      <c r="H45" s="22" t="s">
        <v>968</v>
      </c>
      <c r="I45" s="22" t="s">
        <v>969</v>
      </c>
      <c r="J45" s="22" t="s">
        <v>970</v>
      </c>
      <c r="K45" s="22" t="s">
        <v>971</v>
      </c>
      <c r="L45" s="22" t="s">
        <v>972</v>
      </c>
      <c r="O45" s="13" t="s">
        <v>36</v>
      </c>
      <c r="P45" s="6" t="s">
        <v>1758</v>
      </c>
      <c r="Q45" s="6" t="s">
        <v>1759</v>
      </c>
      <c r="R45" s="6" t="s">
        <v>1760</v>
      </c>
      <c r="S45" s="6" t="s">
        <v>1761</v>
      </c>
      <c r="T45" s="6" t="s">
        <v>1767</v>
      </c>
      <c r="U45" s="6"/>
      <c r="V45" s="6"/>
    </row>
    <row r="46" spans="2:22" ht="30" x14ac:dyDescent="0.2">
      <c r="B46" s="13" t="s">
        <v>9</v>
      </c>
      <c r="C46" s="22" t="s">
        <v>973</v>
      </c>
      <c r="D46" s="22" t="s">
        <v>974</v>
      </c>
      <c r="E46" s="22" t="s">
        <v>975</v>
      </c>
      <c r="F46" s="70" t="s">
        <v>16</v>
      </c>
      <c r="G46" s="22" t="s">
        <v>976</v>
      </c>
      <c r="H46" s="70" t="s">
        <v>16</v>
      </c>
      <c r="I46" s="22" t="s">
        <v>977</v>
      </c>
      <c r="J46" s="70" t="s">
        <v>315</v>
      </c>
      <c r="K46" s="70" t="s">
        <v>18</v>
      </c>
      <c r="L46" s="22" t="s">
        <v>978</v>
      </c>
      <c r="O46" s="13" t="s">
        <v>9</v>
      </c>
      <c r="P46" s="6" t="s">
        <v>21</v>
      </c>
      <c r="Q46" s="7" t="s">
        <v>18</v>
      </c>
      <c r="R46" s="6" t="s">
        <v>315</v>
      </c>
      <c r="S46" s="6" t="s">
        <v>18</v>
      </c>
      <c r="T46" s="7" t="s">
        <v>16</v>
      </c>
      <c r="U46" s="6"/>
      <c r="V46" s="7"/>
    </row>
    <row r="47" spans="2:22" ht="30" x14ac:dyDescent="0.2">
      <c r="B47" s="13" t="s">
        <v>28</v>
      </c>
      <c r="C47" s="22" t="s">
        <v>979</v>
      </c>
      <c r="D47" s="22" t="s">
        <v>980</v>
      </c>
      <c r="E47" s="70" t="s">
        <v>139</v>
      </c>
      <c r="F47" s="70" t="s">
        <v>142</v>
      </c>
      <c r="G47" s="70" t="s">
        <v>142</v>
      </c>
      <c r="H47" s="70" t="s">
        <v>142</v>
      </c>
      <c r="I47" s="70" t="s">
        <v>179</v>
      </c>
      <c r="J47" s="70" t="s">
        <v>179</v>
      </c>
      <c r="K47" s="70" t="s">
        <v>18</v>
      </c>
      <c r="L47" s="70" t="s">
        <v>179</v>
      </c>
      <c r="O47" s="13" t="s">
        <v>28</v>
      </c>
      <c r="P47" s="6" t="s">
        <v>179</v>
      </c>
      <c r="Q47" s="8" t="s">
        <v>18</v>
      </c>
      <c r="R47" s="6" t="s">
        <v>18</v>
      </c>
      <c r="S47" s="6" t="s">
        <v>18</v>
      </c>
      <c r="T47" s="6" t="s">
        <v>440</v>
      </c>
      <c r="U47" s="6"/>
      <c r="V47" s="6"/>
    </row>
    <row r="48" spans="2:22" ht="15" x14ac:dyDescent="0.2">
      <c r="B48" s="13" t="s">
        <v>35</v>
      </c>
      <c r="C48" s="70" t="s">
        <v>16</v>
      </c>
      <c r="D48" s="70" t="s">
        <v>16</v>
      </c>
      <c r="E48" s="70" t="s">
        <v>189</v>
      </c>
      <c r="F48" s="70" t="s">
        <v>16</v>
      </c>
      <c r="G48" s="70" t="s">
        <v>16</v>
      </c>
      <c r="H48" s="70" t="s">
        <v>16</v>
      </c>
      <c r="I48" s="70" t="s">
        <v>20</v>
      </c>
      <c r="J48" s="70" t="s">
        <v>20</v>
      </c>
      <c r="K48" s="70" t="s">
        <v>20</v>
      </c>
      <c r="L48" s="70" t="s">
        <v>20</v>
      </c>
      <c r="O48" s="13" t="s">
        <v>35</v>
      </c>
      <c r="P48" s="7" t="s">
        <v>20</v>
      </c>
      <c r="Q48" s="6" t="s">
        <v>20</v>
      </c>
      <c r="R48" s="6" t="s">
        <v>16</v>
      </c>
      <c r="S48" s="6" t="s">
        <v>140</v>
      </c>
      <c r="T48" s="6" t="s">
        <v>20</v>
      </c>
      <c r="U48" s="6"/>
      <c r="V48" s="6"/>
    </row>
    <row r="49" spans="2:22" ht="30" x14ac:dyDescent="0.2">
      <c r="B49" s="13" t="s">
        <v>26</v>
      </c>
      <c r="C49" s="70" t="s">
        <v>19</v>
      </c>
      <c r="D49" s="70" t="s">
        <v>993</v>
      </c>
      <c r="E49" s="70" t="s">
        <v>140</v>
      </c>
      <c r="F49" s="22" t="s">
        <v>994</v>
      </c>
      <c r="G49" s="70" t="s">
        <v>698</v>
      </c>
      <c r="H49" s="22" t="s">
        <v>995</v>
      </c>
      <c r="I49" s="70" t="s">
        <v>696</v>
      </c>
      <c r="J49" s="70" t="s">
        <v>696</v>
      </c>
      <c r="K49" s="70" t="s">
        <v>696</v>
      </c>
      <c r="L49" s="70" t="s">
        <v>696</v>
      </c>
      <c r="O49" s="13" t="s">
        <v>26</v>
      </c>
      <c r="P49" s="7" t="s">
        <v>1631</v>
      </c>
      <c r="Q49" s="6" t="s">
        <v>1631</v>
      </c>
      <c r="R49" s="6" t="s">
        <v>1631</v>
      </c>
      <c r="S49" s="6" t="s">
        <v>140</v>
      </c>
      <c r="T49" s="6" t="s">
        <v>1632</v>
      </c>
      <c r="U49" s="7"/>
      <c r="V49" s="6"/>
    </row>
    <row r="50" spans="2:22" ht="30" x14ac:dyDescent="0.2">
      <c r="B50" s="13" t="s">
        <v>25</v>
      </c>
      <c r="C50" s="70" t="s">
        <v>981</v>
      </c>
      <c r="D50" s="70" t="s">
        <v>833</v>
      </c>
      <c r="E50" s="70" t="s">
        <v>833</v>
      </c>
      <c r="F50" s="70" t="s">
        <v>142</v>
      </c>
      <c r="G50" s="70" t="s">
        <v>142</v>
      </c>
      <c r="H50" s="70" t="s">
        <v>142</v>
      </c>
      <c r="I50" s="70" t="s">
        <v>21</v>
      </c>
      <c r="J50" s="70" t="s">
        <v>21</v>
      </c>
      <c r="K50" s="70" t="s">
        <v>21</v>
      </c>
      <c r="L50" s="70" t="s">
        <v>21</v>
      </c>
      <c r="O50" s="13" t="s">
        <v>25</v>
      </c>
      <c r="P50" s="7" t="s">
        <v>21</v>
      </c>
      <c r="Q50" s="6" t="s">
        <v>21</v>
      </c>
      <c r="R50" s="6" t="s">
        <v>1657</v>
      </c>
      <c r="S50" s="6" t="s">
        <v>21</v>
      </c>
      <c r="T50" s="6" t="s">
        <v>21</v>
      </c>
      <c r="U50" s="6"/>
      <c r="V50" s="6"/>
    </row>
    <row r="51" spans="2:22" ht="30" x14ac:dyDescent="0.2">
      <c r="B51" s="13" t="s">
        <v>34</v>
      </c>
      <c r="C51" s="70" t="s">
        <v>17</v>
      </c>
      <c r="D51" s="70" t="s">
        <v>833</v>
      </c>
      <c r="E51" s="70" t="s">
        <v>982</v>
      </c>
      <c r="F51" s="22" t="s">
        <v>996</v>
      </c>
      <c r="G51" s="22" t="s">
        <v>997</v>
      </c>
      <c r="H51" s="70" t="s">
        <v>141</v>
      </c>
      <c r="I51" s="70" t="s">
        <v>141</v>
      </c>
      <c r="J51" s="70" t="s">
        <v>141</v>
      </c>
      <c r="K51" s="70" t="s">
        <v>141</v>
      </c>
      <c r="L51" s="70" t="s">
        <v>141</v>
      </c>
      <c r="O51" s="13" t="s">
        <v>34</v>
      </c>
      <c r="P51" s="7" t="s">
        <v>141</v>
      </c>
      <c r="Q51" s="6" t="s">
        <v>141</v>
      </c>
      <c r="R51" s="6" t="s">
        <v>141</v>
      </c>
      <c r="S51" s="6" t="s">
        <v>141</v>
      </c>
      <c r="T51" s="6" t="s">
        <v>141</v>
      </c>
      <c r="U51" s="7"/>
      <c r="V51" s="6"/>
    </row>
    <row r="52" spans="2:22" ht="15" x14ac:dyDescent="0.2">
      <c r="B52" s="13" t="s">
        <v>5</v>
      </c>
      <c r="C52" s="70" t="s">
        <v>142</v>
      </c>
      <c r="D52" s="70" t="s">
        <v>20</v>
      </c>
      <c r="E52" s="70" t="s">
        <v>20</v>
      </c>
      <c r="F52" s="70" t="s">
        <v>20</v>
      </c>
      <c r="G52" s="70" t="s">
        <v>20</v>
      </c>
      <c r="H52" s="70" t="s">
        <v>20</v>
      </c>
      <c r="I52" s="70" t="s">
        <v>20</v>
      </c>
      <c r="J52" s="70" t="s">
        <v>20</v>
      </c>
      <c r="K52" s="70" t="s">
        <v>20</v>
      </c>
      <c r="L52" s="70" t="s">
        <v>20</v>
      </c>
      <c r="O52" s="13" t="s">
        <v>5</v>
      </c>
      <c r="P52" s="7" t="s">
        <v>20</v>
      </c>
      <c r="Q52" s="6" t="s">
        <v>20</v>
      </c>
      <c r="R52" s="6" t="s">
        <v>695</v>
      </c>
      <c r="S52" s="6" t="s">
        <v>20</v>
      </c>
      <c r="T52" s="6" t="s">
        <v>20</v>
      </c>
      <c r="U52" s="6"/>
      <c r="V52" s="6"/>
    </row>
    <row r="53" spans="2:22" ht="30" x14ac:dyDescent="0.2">
      <c r="B53" s="13" t="s">
        <v>23</v>
      </c>
      <c r="C53" s="70" t="s">
        <v>142</v>
      </c>
      <c r="D53" s="70" t="s">
        <v>142</v>
      </c>
      <c r="E53" s="70" t="s">
        <v>142</v>
      </c>
      <c r="F53" s="70" t="s">
        <v>142</v>
      </c>
      <c r="G53" s="70" t="s">
        <v>142</v>
      </c>
      <c r="H53" s="70" t="s">
        <v>142</v>
      </c>
      <c r="I53" s="70" t="s">
        <v>20</v>
      </c>
      <c r="J53" s="70" t="s">
        <v>20</v>
      </c>
      <c r="K53" s="70" t="s">
        <v>20</v>
      </c>
      <c r="L53" s="70" t="s">
        <v>20</v>
      </c>
      <c r="O53" s="13" t="s">
        <v>23</v>
      </c>
      <c r="P53" s="7" t="s">
        <v>20</v>
      </c>
      <c r="Q53" s="6" t="s">
        <v>20</v>
      </c>
      <c r="R53" s="6" t="s">
        <v>20</v>
      </c>
      <c r="S53" s="6" t="s">
        <v>20</v>
      </c>
      <c r="T53" s="7" t="s">
        <v>20</v>
      </c>
      <c r="U53" s="6"/>
      <c r="V53" s="7"/>
    </row>
    <row r="54" spans="2:22" ht="154.5" customHeight="1" x14ac:dyDescent="0.2">
      <c r="B54" s="13" t="s">
        <v>33</v>
      </c>
      <c r="C54" s="22" t="s">
        <v>983</v>
      </c>
      <c r="D54" s="22" t="s">
        <v>984</v>
      </c>
      <c r="E54" s="22" t="s">
        <v>985</v>
      </c>
      <c r="F54" s="22" t="s">
        <v>986</v>
      </c>
      <c r="G54" s="22" t="s">
        <v>987</v>
      </c>
      <c r="H54" s="22" t="s">
        <v>988</v>
      </c>
      <c r="I54" s="22" t="s">
        <v>989</v>
      </c>
      <c r="J54" s="22" t="s">
        <v>990</v>
      </c>
      <c r="K54" s="22" t="s">
        <v>991</v>
      </c>
      <c r="L54" s="22" t="s">
        <v>992</v>
      </c>
      <c r="O54" s="13" t="s">
        <v>33</v>
      </c>
      <c r="P54" s="6" t="s">
        <v>1762</v>
      </c>
      <c r="Q54" s="6" t="s">
        <v>1763</v>
      </c>
      <c r="R54" s="6" t="s">
        <v>1764</v>
      </c>
      <c r="S54" s="6" t="s">
        <v>1765</v>
      </c>
      <c r="T54" s="6" t="s">
        <v>1768</v>
      </c>
      <c r="U54" s="7"/>
      <c r="V54" s="6"/>
    </row>
    <row r="55" spans="2:22" ht="23.5" customHeight="1" x14ac:dyDescent="0.2">
      <c r="B55" s="12"/>
      <c r="G55" s="11"/>
      <c r="H55" s="11"/>
    </row>
    <row r="56" spans="2:22" ht="23.5" customHeight="1" x14ac:dyDescent="0.2">
      <c r="B56" s="12"/>
      <c r="G56" s="11"/>
      <c r="H56" s="11"/>
    </row>
    <row r="58" spans="2:22" ht="12.75" customHeight="1" x14ac:dyDescent="0.2">
      <c r="B58" s="96" t="s">
        <v>32</v>
      </c>
      <c r="C58" s="96"/>
      <c r="D58" s="96"/>
      <c r="E58" s="96"/>
      <c r="F58" s="96"/>
      <c r="G58" s="96"/>
      <c r="H58" s="96"/>
      <c r="I58" s="96"/>
      <c r="J58" s="96"/>
      <c r="L58" s="96" t="s">
        <v>31</v>
      </c>
      <c r="M58" s="96"/>
      <c r="N58" s="96"/>
      <c r="O58" s="96"/>
      <c r="P58" s="96"/>
      <c r="Q58" s="96"/>
      <c r="R58" s="96"/>
      <c r="S58" s="96"/>
      <c r="T58" s="96"/>
    </row>
    <row r="59" spans="2:22" ht="30" x14ac:dyDescent="0.2">
      <c r="B59" s="4" t="s">
        <v>10</v>
      </c>
      <c r="C59" s="4" t="s">
        <v>9</v>
      </c>
      <c r="D59" s="4" t="s">
        <v>28</v>
      </c>
      <c r="E59" s="4" t="s">
        <v>27</v>
      </c>
      <c r="F59" s="4" t="s">
        <v>26</v>
      </c>
      <c r="G59" s="4" t="s">
        <v>25</v>
      </c>
      <c r="H59" s="4" t="s">
        <v>24</v>
      </c>
      <c r="I59" s="4" t="s">
        <v>5</v>
      </c>
      <c r="J59" s="4" t="s">
        <v>23</v>
      </c>
      <c r="L59" s="4" t="s">
        <v>10</v>
      </c>
      <c r="M59" s="4" t="s">
        <v>9</v>
      </c>
      <c r="N59" s="4" t="s">
        <v>28</v>
      </c>
      <c r="O59" s="4" t="s">
        <v>27</v>
      </c>
      <c r="P59" s="4" t="s">
        <v>26</v>
      </c>
      <c r="Q59" s="4" t="s">
        <v>25</v>
      </c>
      <c r="R59" s="4" t="s">
        <v>24</v>
      </c>
      <c r="S59" s="4" t="s">
        <v>5</v>
      </c>
      <c r="T59" s="4" t="s">
        <v>23</v>
      </c>
    </row>
    <row r="60" spans="2:22" ht="45" x14ac:dyDescent="0.2">
      <c r="B60" s="25" t="s">
        <v>998</v>
      </c>
      <c r="C60" s="26" t="s">
        <v>16</v>
      </c>
      <c r="D60" s="23" t="s">
        <v>1008</v>
      </c>
      <c r="E60" s="26" t="s">
        <v>16</v>
      </c>
      <c r="F60" s="26" t="s">
        <v>19</v>
      </c>
      <c r="G60" s="26" t="s">
        <v>981</v>
      </c>
      <c r="H60" s="26" t="s">
        <v>17</v>
      </c>
      <c r="I60" s="26" t="s">
        <v>142</v>
      </c>
      <c r="J60" s="26" t="s">
        <v>142</v>
      </c>
      <c r="L60" s="3" t="s">
        <v>1851</v>
      </c>
      <c r="M60" s="3" t="s">
        <v>21</v>
      </c>
      <c r="N60" s="3" t="s">
        <v>179</v>
      </c>
      <c r="O60" s="3" t="s">
        <v>20</v>
      </c>
      <c r="P60" s="3" t="s">
        <v>1697</v>
      </c>
      <c r="Q60" s="28" t="s">
        <v>21</v>
      </c>
      <c r="R60" s="28" t="s">
        <v>141</v>
      </c>
      <c r="S60" s="28" t="s">
        <v>20</v>
      </c>
      <c r="T60" s="28" t="s">
        <v>20</v>
      </c>
    </row>
    <row r="61" spans="2:22" ht="30" x14ac:dyDescent="0.2">
      <c r="B61" s="25" t="s">
        <v>999</v>
      </c>
      <c r="C61" s="26" t="s">
        <v>192</v>
      </c>
      <c r="D61" s="23" t="s">
        <v>1009</v>
      </c>
      <c r="E61" s="26" t="s">
        <v>16</v>
      </c>
      <c r="F61" s="26" t="s">
        <v>1010</v>
      </c>
      <c r="G61" s="26" t="s">
        <v>833</v>
      </c>
      <c r="H61" s="26" t="s">
        <v>833</v>
      </c>
      <c r="I61" s="26" t="s">
        <v>20</v>
      </c>
      <c r="J61" s="26" t="s">
        <v>142</v>
      </c>
      <c r="L61" s="3" t="s">
        <v>1852</v>
      </c>
      <c r="M61" s="3" t="s">
        <v>18</v>
      </c>
      <c r="N61" s="3" t="s">
        <v>18</v>
      </c>
      <c r="O61" s="3" t="s">
        <v>20</v>
      </c>
      <c r="P61" s="3" t="s">
        <v>1697</v>
      </c>
      <c r="Q61" s="28" t="s">
        <v>21</v>
      </c>
      <c r="R61" s="28" t="s">
        <v>141</v>
      </c>
      <c r="S61" s="28" t="s">
        <v>20</v>
      </c>
      <c r="T61" s="28" t="s">
        <v>20</v>
      </c>
    </row>
    <row r="62" spans="2:22" ht="30" x14ac:dyDescent="0.2">
      <c r="B62" s="25" t="s">
        <v>1000</v>
      </c>
      <c r="C62" s="26" t="s">
        <v>21</v>
      </c>
      <c r="D62" s="26" t="s">
        <v>139</v>
      </c>
      <c r="E62" s="26" t="s">
        <v>189</v>
      </c>
      <c r="F62" s="26" t="s">
        <v>1011</v>
      </c>
      <c r="G62" s="26" t="s">
        <v>833</v>
      </c>
      <c r="H62" s="26" t="s">
        <v>982</v>
      </c>
      <c r="I62" s="26" t="s">
        <v>20</v>
      </c>
      <c r="J62" s="26" t="s">
        <v>142</v>
      </c>
      <c r="L62" s="3" t="s">
        <v>1853</v>
      </c>
      <c r="M62" s="3" t="s">
        <v>315</v>
      </c>
      <c r="N62" s="3" t="s">
        <v>18</v>
      </c>
      <c r="O62" s="3" t="s">
        <v>16</v>
      </c>
      <c r="P62" s="3" t="s">
        <v>1697</v>
      </c>
      <c r="Q62" s="28" t="s">
        <v>1874</v>
      </c>
      <c r="R62" s="28" t="s">
        <v>141</v>
      </c>
      <c r="S62" s="28" t="s">
        <v>695</v>
      </c>
      <c r="T62" s="28" t="s">
        <v>20</v>
      </c>
    </row>
    <row r="63" spans="2:22" ht="30" x14ac:dyDescent="0.2">
      <c r="B63" s="25" t="s">
        <v>1001</v>
      </c>
      <c r="C63" s="26" t="s">
        <v>16</v>
      </c>
      <c r="D63" s="26" t="s">
        <v>142</v>
      </c>
      <c r="E63" s="26" t="s">
        <v>16</v>
      </c>
      <c r="F63" s="26" t="s">
        <v>1012</v>
      </c>
      <c r="G63" s="26" t="s">
        <v>142</v>
      </c>
      <c r="H63" s="26" t="s">
        <v>1015</v>
      </c>
      <c r="I63" s="26" t="s">
        <v>20</v>
      </c>
      <c r="J63" s="26" t="s">
        <v>142</v>
      </c>
      <c r="L63" s="3" t="s">
        <v>1854</v>
      </c>
      <c r="M63" s="3" t="s">
        <v>18</v>
      </c>
      <c r="N63" s="3" t="s">
        <v>18</v>
      </c>
      <c r="O63" s="3" t="s">
        <v>140</v>
      </c>
      <c r="P63" s="3" t="s">
        <v>140</v>
      </c>
      <c r="Q63" s="28" t="s">
        <v>21</v>
      </c>
      <c r="R63" s="28" t="s">
        <v>141</v>
      </c>
      <c r="S63" s="28" t="s">
        <v>20</v>
      </c>
      <c r="T63" s="28" t="s">
        <v>20</v>
      </c>
    </row>
    <row r="64" spans="2:22" ht="30" x14ac:dyDescent="0.2">
      <c r="B64" s="25" t="s">
        <v>1002</v>
      </c>
      <c r="C64" s="26" t="s">
        <v>16</v>
      </c>
      <c r="D64" s="26" t="s">
        <v>142</v>
      </c>
      <c r="E64" s="26" t="s">
        <v>16</v>
      </c>
      <c r="F64" s="26" t="s">
        <v>1013</v>
      </c>
      <c r="G64" s="26" t="s">
        <v>142</v>
      </c>
      <c r="H64" s="26" t="s">
        <v>1016</v>
      </c>
      <c r="I64" s="26" t="s">
        <v>20</v>
      </c>
      <c r="J64" s="26" t="s">
        <v>142</v>
      </c>
      <c r="L64" s="3" t="s">
        <v>1855</v>
      </c>
      <c r="M64" s="3" t="s">
        <v>16</v>
      </c>
      <c r="N64" s="3" t="s">
        <v>440</v>
      </c>
      <c r="O64" s="3" t="s">
        <v>20</v>
      </c>
      <c r="P64" s="3" t="s">
        <v>140</v>
      </c>
      <c r="Q64" s="28" t="s">
        <v>21</v>
      </c>
      <c r="R64" s="28" t="s">
        <v>139</v>
      </c>
      <c r="S64" s="28" t="s">
        <v>20</v>
      </c>
      <c r="T64" s="28" t="s">
        <v>20</v>
      </c>
    </row>
    <row r="65" spans="2:20" ht="30" x14ac:dyDescent="0.2">
      <c r="B65" s="25" t="s">
        <v>1003</v>
      </c>
      <c r="C65" s="26" t="s">
        <v>16</v>
      </c>
      <c r="D65" s="26" t="s">
        <v>142</v>
      </c>
      <c r="E65" s="26" t="s">
        <v>16</v>
      </c>
      <c r="F65" s="26" t="s">
        <v>1014</v>
      </c>
      <c r="G65" s="26" t="s">
        <v>142</v>
      </c>
      <c r="H65" s="26" t="s">
        <v>141</v>
      </c>
      <c r="I65" s="26" t="s">
        <v>20</v>
      </c>
      <c r="J65" s="26" t="s">
        <v>142</v>
      </c>
      <c r="L65" s="3" t="s">
        <v>1856</v>
      </c>
      <c r="M65" s="3" t="s">
        <v>18</v>
      </c>
      <c r="N65" s="3" t="s">
        <v>18</v>
      </c>
      <c r="O65" s="3" t="s">
        <v>20</v>
      </c>
      <c r="P65" s="3" t="s">
        <v>1697</v>
      </c>
      <c r="Q65" s="28" t="s">
        <v>21</v>
      </c>
      <c r="R65" s="28" t="s">
        <v>141</v>
      </c>
      <c r="S65" s="28" t="s">
        <v>20</v>
      </c>
      <c r="T65" s="28" t="s">
        <v>20</v>
      </c>
    </row>
    <row r="66" spans="2:20" ht="30" x14ac:dyDescent="0.2">
      <c r="B66" s="25" t="s">
        <v>1004</v>
      </c>
      <c r="C66" s="26" t="s">
        <v>21</v>
      </c>
      <c r="D66" s="26" t="s">
        <v>179</v>
      </c>
      <c r="E66" s="26" t="s">
        <v>20</v>
      </c>
      <c r="F66" s="26" t="s">
        <v>861</v>
      </c>
      <c r="G66" s="26" t="s">
        <v>21</v>
      </c>
      <c r="H66" s="26" t="s">
        <v>141</v>
      </c>
      <c r="I66" s="26" t="s">
        <v>20</v>
      </c>
      <c r="J66" s="26" t="s">
        <v>20</v>
      </c>
      <c r="L66" s="3" t="s">
        <v>1857</v>
      </c>
      <c r="M66" s="3" t="s">
        <v>16</v>
      </c>
      <c r="N66" s="3" t="s">
        <v>440</v>
      </c>
      <c r="O66" s="3" t="s">
        <v>20</v>
      </c>
      <c r="P66" s="3" t="s">
        <v>1632</v>
      </c>
      <c r="Q66" s="28" t="s">
        <v>21</v>
      </c>
      <c r="R66" s="28" t="s">
        <v>141</v>
      </c>
      <c r="S66" s="28" t="s">
        <v>20</v>
      </c>
      <c r="T66" s="28" t="s">
        <v>20</v>
      </c>
    </row>
    <row r="67" spans="2:20" ht="30" x14ac:dyDescent="0.2">
      <c r="B67" s="25" t="s">
        <v>1005</v>
      </c>
      <c r="C67" s="26" t="s">
        <v>315</v>
      </c>
      <c r="D67" s="26" t="s">
        <v>179</v>
      </c>
      <c r="E67" s="26" t="s">
        <v>20</v>
      </c>
      <c r="F67" s="26" t="s">
        <v>861</v>
      </c>
      <c r="G67" s="26" t="s">
        <v>21</v>
      </c>
      <c r="H67" s="26" t="s">
        <v>141</v>
      </c>
      <c r="I67" s="26" t="s">
        <v>20</v>
      </c>
      <c r="J67" s="26" t="s">
        <v>20</v>
      </c>
      <c r="L67" s="3"/>
      <c r="M67" s="3"/>
      <c r="N67" s="3"/>
      <c r="O67" s="3"/>
      <c r="P67" s="3"/>
      <c r="Q67" s="3"/>
      <c r="R67" s="3"/>
      <c r="S67" s="3"/>
      <c r="T67" s="3"/>
    </row>
    <row r="68" spans="2:20" ht="30" x14ac:dyDescent="0.2">
      <c r="B68" s="25" t="s">
        <v>1006</v>
      </c>
      <c r="C68" s="26" t="s">
        <v>18</v>
      </c>
      <c r="D68" s="26" t="s">
        <v>18</v>
      </c>
      <c r="E68" s="26" t="s">
        <v>20</v>
      </c>
      <c r="F68" s="26" t="s">
        <v>861</v>
      </c>
      <c r="G68" s="26" t="s">
        <v>21</v>
      </c>
      <c r="H68" s="26" t="s">
        <v>141</v>
      </c>
      <c r="I68" s="26" t="s">
        <v>20</v>
      </c>
      <c r="J68" s="26" t="s">
        <v>20</v>
      </c>
      <c r="L68" s="3"/>
      <c r="M68" s="3"/>
      <c r="N68" s="3"/>
      <c r="O68" s="3"/>
      <c r="P68" s="3"/>
      <c r="Q68" s="3"/>
      <c r="R68" s="3"/>
      <c r="S68" s="3"/>
      <c r="T68" s="3"/>
    </row>
    <row r="69" spans="2:20" ht="30" x14ac:dyDescent="0.2">
      <c r="B69" s="25" t="s">
        <v>1007</v>
      </c>
      <c r="C69" s="26" t="s">
        <v>18</v>
      </c>
      <c r="D69" s="26" t="s">
        <v>179</v>
      </c>
      <c r="E69" s="26" t="s">
        <v>20</v>
      </c>
      <c r="F69" s="26" t="s">
        <v>861</v>
      </c>
      <c r="G69" s="26" t="s">
        <v>21</v>
      </c>
      <c r="H69" s="26" t="s">
        <v>141</v>
      </c>
      <c r="I69" s="26" t="s">
        <v>20</v>
      </c>
      <c r="J69" s="26" t="s">
        <v>20</v>
      </c>
      <c r="L69" s="3"/>
      <c r="M69" s="3"/>
      <c r="N69" s="3"/>
      <c r="O69" s="3"/>
      <c r="P69" s="3"/>
      <c r="Q69" s="3"/>
      <c r="R69" s="3"/>
      <c r="S69" s="3"/>
      <c r="T69" s="3"/>
    </row>
    <row r="70" spans="2:20" x14ac:dyDescent="0.2">
      <c r="B70" s="10"/>
      <c r="C70" s="10"/>
      <c r="D70" s="10"/>
      <c r="E70" s="10"/>
      <c r="F70" s="10"/>
      <c r="G70" s="10"/>
      <c r="H70" s="10"/>
      <c r="I70" s="10"/>
      <c r="J70" s="10"/>
    </row>
    <row r="72" spans="2:20" ht="12.75" customHeight="1" x14ac:dyDescent="0.2">
      <c r="B72" s="96" t="s">
        <v>30</v>
      </c>
      <c r="C72" s="96"/>
      <c r="D72" s="96"/>
      <c r="E72" s="96"/>
      <c r="F72" s="96"/>
      <c r="G72" s="96"/>
      <c r="H72" s="96"/>
      <c r="I72" s="96"/>
      <c r="J72" s="96"/>
    </row>
    <row r="73" spans="2:20" ht="15" x14ac:dyDescent="0.2">
      <c r="B73" s="58" t="s">
        <v>29</v>
      </c>
      <c r="C73" s="58" t="s">
        <v>1017</v>
      </c>
      <c r="D73" s="58" t="s">
        <v>1018</v>
      </c>
      <c r="E73" s="58" t="s">
        <v>1019</v>
      </c>
      <c r="F73" s="58" t="s">
        <v>1020</v>
      </c>
      <c r="G73" s="58" t="s">
        <v>1021</v>
      </c>
      <c r="H73" s="58" t="s">
        <v>81</v>
      </c>
      <c r="I73" s="58" t="s">
        <v>55</v>
      </c>
      <c r="J73" s="4" t="s">
        <v>1051</v>
      </c>
    </row>
    <row r="74" spans="2:20" ht="30" x14ac:dyDescent="0.2">
      <c r="B74" s="25" t="s">
        <v>1022</v>
      </c>
      <c r="C74" s="26" t="s">
        <v>1023</v>
      </c>
      <c r="D74" s="26" t="s">
        <v>1024</v>
      </c>
      <c r="E74" s="23" t="s">
        <v>1025</v>
      </c>
      <c r="F74" s="26" t="s">
        <v>1026</v>
      </c>
      <c r="G74" s="26" t="s">
        <v>1027</v>
      </c>
      <c r="H74" s="23" t="s">
        <v>1028</v>
      </c>
      <c r="I74" s="26" t="s">
        <v>16</v>
      </c>
      <c r="J74" s="3" t="s">
        <v>21</v>
      </c>
    </row>
    <row r="75" spans="2:20" ht="15" x14ac:dyDescent="0.2">
      <c r="B75" s="25" t="s">
        <v>1029</v>
      </c>
      <c r="C75" s="26" t="s">
        <v>1030</v>
      </c>
      <c r="D75" s="23" t="s">
        <v>1031</v>
      </c>
      <c r="E75" s="23" t="s">
        <v>1032</v>
      </c>
      <c r="F75" s="26" t="s">
        <v>1033</v>
      </c>
      <c r="G75" s="26" t="s">
        <v>1034</v>
      </c>
      <c r="H75" s="23" t="s">
        <v>1035</v>
      </c>
      <c r="I75" s="23" t="s">
        <v>1036</v>
      </c>
      <c r="J75" s="3" t="s">
        <v>710</v>
      </c>
    </row>
    <row r="76" spans="2:20" ht="15" x14ac:dyDescent="0.2">
      <c r="B76" s="25" t="s">
        <v>1037</v>
      </c>
      <c r="C76" s="26" t="s">
        <v>1038</v>
      </c>
      <c r="D76" s="26" t="s">
        <v>1039</v>
      </c>
      <c r="E76" s="26" t="s">
        <v>1040</v>
      </c>
      <c r="F76" s="26" t="s">
        <v>1040</v>
      </c>
      <c r="G76" s="23" t="s">
        <v>1041</v>
      </c>
      <c r="H76" s="23" t="s">
        <v>1042</v>
      </c>
      <c r="I76" s="26" t="s">
        <v>1043</v>
      </c>
      <c r="J76" s="6" t="s">
        <v>1052</v>
      </c>
    </row>
    <row r="77" spans="2:20" ht="15" x14ac:dyDescent="0.2">
      <c r="B77" s="25" t="s">
        <v>1044</v>
      </c>
      <c r="C77" s="26" t="s">
        <v>1045</v>
      </c>
      <c r="D77" s="26" t="s">
        <v>1046</v>
      </c>
      <c r="E77" s="23" t="s">
        <v>1047</v>
      </c>
      <c r="F77" s="26" t="s">
        <v>1048</v>
      </c>
      <c r="G77" s="23" t="s">
        <v>1049</v>
      </c>
      <c r="H77" s="23" t="s">
        <v>1050</v>
      </c>
      <c r="I77" s="26" t="s">
        <v>16</v>
      </c>
      <c r="J77" s="6" t="s">
        <v>1053</v>
      </c>
    </row>
    <row r="78" spans="2:20" x14ac:dyDescent="0.2">
      <c r="B78" s="6"/>
      <c r="C78" s="9"/>
      <c r="D78" s="6"/>
      <c r="E78" s="6"/>
      <c r="F78" s="6"/>
      <c r="G78" s="6"/>
      <c r="H78" s="6"/>
      <c r="I78" s="6"/>
      <c r="J78" s="6"/>
    </row>
    <row r="79" spans="2:20" x14ac:dyDescent="0.2">
      <c r="B79" s="6"/>
      <c r="C79" s="8"/>
      <c r="D79" s="6"/>
      <c r="E79" s="6"/>
      <c r="F79" s="6"/>
      <c r="G79" s="6"/>
      <c r="H79" s="6"/>
      <c r="I79" s="6"/>
      <c r="J79" s="6"/>
    </row>
    <row r="80" spans="2:20" x14ac:dyDescent="0.2">
      <c r="B80" s="7"/>
      <c r="C80" s="7"/>
      <c r="D80" s="8"/>
      <c r="E80" s="7"/>
      <c r="F80" s="6"/>
      <c r="G80" s="6"/>
      <c r="H80" s="6"/>
      <c r="I80" s="6"/>
      <c r="J80" s="6"/>
    </row>
    <row r="81" spans="2:11" x14ac:dyDescent="0.2">
      <c r="B81" s="7"/>
      <c r="C81" s="8"/>
      <c r="D81" s="6"/>
      <c r="E81" s="6"/>
      <c r="F81" s="6"/>
      <c r="G81" s="6"/>
      <c r="H81" s="6"/>
      <c r="I81" s="6"/>
      <c r="J81" s="6"/>
    </row>
    <row r="82" spans="2:11" x14ac:dyDescent="0.2">
      <c r="B82" s="7"/>
      <c r="C82" s="7"/>
      <c r="D82" s="6"/>
      <c r="E82" s="6"/>
      <c r="F82" s="6"/>
      <c r="G82" s="6"/>
      <c r="H82" s="6"/>
      <c r="I82" s="6"/>
      <c r="J82" s="6"/>
    </row>
    <row r="84" spans="2:11" ht="12.75" customHeight="1" x14ac:dyDescent="0.2">
      <c r="B84" s="97" t="s">
        <v>15</v>
      </c>
      <c r="C84" s="97"/>
      <c r="D84" s="97"/>
      <c r="E84" s="97"/>
      <c r="F84" s="97"/>
      <c r="G84" s="97"/>
      <c r="H84" s="97"/>
    </row>
    <row r="85" spans="2:11" ht="13.75" customHeight="1" x14ac:dyDescent="0.2">
      <c r="B85" s="5" t="s">
        <v>10</v>
      </c>
      <c r="C85" s="5" t="s">
        <v>9</v>
      </c>
      <c r="D85" s="5" t="s">
        <v>14</v>
      </c>
      <c r="E85" s="5" t="s">
        <v>7</v>
      </c>
      <c r="F85" s="5" t="s">
        <v>13</v>
      </c>
      <c r="G85" s="5" t="s">
        <v>5</v>
      </c>
      <c r="H85" s="5" t="s">
        <v>12</v>
      </c>
      <c r="J85" s="91" t="s">
        <v>11</v>
      </c>
      <c r="K85" s="92"/>
    </row>
    <row r="86" spans="2:11" ht="13.75" customHeight="1" x14ac:dyDescent="0.2">
      <c r="B86" s="4" t="s">
        <v>10</v>
      </c>
      <c r="C86" s="4" t="s">
        <v>9</v>
      </c>
      <c r="D86" s="4" t="s">
        <v>8</v>
      </c>
      <c r="E86" s="4" t="s">
        <v>7</v>
      </c>
      <c r="F86" s="4" t="s">
        <v>6</v>
      </c>
      <c r="G86" s="4" t="s">
        <v>5</v>
      </c>
      <c r="H86" s="4" t="s">
        <v>4</v>
      </c>
      <c r="J86" s="91" t="s">
        <v>3</v>
      </c>
      <c r="K86" s="92"/>
    </row>
    <row r="87" spans="2:11" ht="13.75" customHeight="1" x14ac:dyDescent="0.2">
      <c r="B87" s="25" t="s">
        <v>1054</v>
      </c>
      <c r="C87" s="26">
        <v>5</v>
      </c>
      <c r="D87" s="26">
        <v>4</v>
      </c>
      <c r="E87" s="26">
        <v>5</v>
      </c>
      <c r="F87" s="26">
        <v>5</v>
      </c>
      <c r="G87" s="26">
        <v>3</v>
      </c>
      <c r="H87" s="2"/>
      <c r="J87" s="91" t="s">
        <v>2</v>
      </c>
      <c r="K87" s="92"/>
    </row>
    <row r="88" spans="2:11" ht="13.75" customHeight="1" x14ac:dyDescent="0.2">
      <c r="B88" s="25" t="s">
        <v>1055</v>
      </c>
      <c r="C88" s="26">
        <v>5</v>
      </c>
      <c r="D88" s="26">
        <v>4</v>
      </c>
      <c r="E88" s="26">
        <v>5</v>
      </c>
      <c r="F88" s="26">
        <v>5</v>
      </c>
      <c r="G88" s="26">
        <v>3</v>
      </c>
      <c r="H88" s="2"/>
      <c r="J88" s="91" t="s">
        <v>1</v>
      </c>
      <c r="K88" s="92"/>
    </row>
    <row r="89" spans="2:11" ht="15" x14ac:dyDescent="0.2">
      <c r="B89" s="25" t="s">
        <v>1056</v>
      </c>
      <c r="C89" s="26">
        <v>3</v>
      </c>
      <c r="D89" s="26">
        <v>5</v>
      </c>
      <c r="E89" s="26">
        <v>4</v>
      </c>
      <c r="F89" s="26">
        <v>2</v>
      </c>
      <c r="G89" s="26">
        <v>3</v>
      </c>
      <c r="H89" s="2"/>
      <c r="J89" s="92" t="s">
        <v>0</v>
      </c>
      <c r="K89" s="92"/>
    </row>
    <row r="90" spans="2:11" ht="30" x14ac:dyDescent="0.2">
      <c r="B90" s="25" t="s">
        <v>1057</v>
      </c>
      <c r="C90" s="26">
        <v>4</v>
      </c>
      <c r="D90" s="26">
        <v>5</v>
      </c>
      <c r="E90" s="26">
        <v>5</v>
      </c>
      <c r="F90" s="26">
        <v>4</v>
      </c>
      <c r="G90" s="26">
        <v>3</v>
      </c>
      <c r="H90" s="2"/>
    </row>
    <row r="91" spans="2:11" ht="15" x14ac:dyDescent="0.2">
      <c r="B91" s="25" t="s">
        <v>1058</v>
      </c>
      <c r="C91" s="26">
        <v>3</v>
      </c>
      <c r="D91" s="26">
        <v>4</v>
      </c>
      <c r="E91" s="26">
        <v>4</v>
      </c>
      <c r="F91" s="26">
        <v>4</v>
      </c>
      <c r="G91" s="26">
        <v>3</v>
      </c>
      <c r="H91" s="2"/>
    </row>
    <row r="92" spans="2:11" ht="30" x14ac:dyDescent="0.2">
      <c r="B92" s="25" t="s">
        <v>1059</v>
      </c>
      <c r="C92" s="26">
        <v>3</v>
      </c>
      <c r="D92" s="26">
        <v>5</v>
      </c>
      <c r="E92" s="26">
        <v>3</v>
      </c>
      <c r="F92" s="26">
        <v>2</v>
      </c>
      <c r="G92" s="26">
        <v>3</v>
      </c>
      <c r="H92" s="2"/>
    </row>
    <row r="93" spans="2:11" ht="30" x14ac:dyDescent="0.2">
      <c r="B93" s="25" t="s">
        <v>1060</v>
      </c>
      <c r="C93" s="26">
        <v>3</v>
      </c>
      <c r="D93" s="26">
        <v>4</v>
      </c>
      <c r="E93" s="26">
        <v>4</v>
      </c>
      <c r="F93" s="26">
        <v>3</v>
      </c>
      <c r="G93" s="26">
        <v>3</v>
      </c>
      <c r="H93" s="2"/>
    </row>
    <row r="94" spans="2:11" ht="20.75" customHeight="1" x14ac:dyDescent="0.2">
      <c r="B94" s="25" t="s">
        <v>1061</v>
      </c>
      <c r="C94" s="26">
        <v>5</v>
      </c>
      <c r="D94" s="26">
        <v>3</v>
      </c>
      <c r="E94" s="26">
        <v>5</v>
      </c>
      <c r="F94" s="26">
        <v>5</v>
      </c>
      <c r="G94" s="26">
        <v>3</v>
      </c>
      <c r="H94" s="2"/>
    </row>
    <row r="95" spans="2:11" ht="20.75" customHeight="1" x14ac:dyDescent="0.2">
      <c r="B95" s="25" t="s">
        <v>1062</v>
      </c>
      <c r="C95" s="26">
        <v>2</v>
      </c>
      <c r="D95" s="26">
        <v>3</v>
      </c>
      <c r="E95" s="26">
        <v>3</v>
      </c>
      <c r="F95" s="26">
        <v>3</v>
      </c>
      <c r="G95" s="26">
        <v>3</v>
      </c>
      <c r="H95" s="2"/>
    </row>
    <row r="96" spans="2:11" ht="20.75" customHeight="1" x14ac:dyDescent="0.2">
      <c r="B96" s="25" t="s">
        <v>1063</v>
      </c>
      <c r="C96" s="26">
        <v>3</v>
      </c>
      <c r="D96" s="26">
        <v>1</v>
      </c>
      <c r="E96" s="26">
        <v>4</v>
      </c>
      <c r="F96" s="26">
        <v>5</v>
      </c>
      <c r="G96" s="26">
        <v>3</v>
      </c>
      <c r="H96" s="2"/>
    </row>
    <row r="97" spans="1:14" ht="20.75" customHeight="1" x14ac:dyDescent="0.2"/>
    <row r="98" spans="1:14" ht="29.5" customHeight="1" x14ac:dyDescent="0.2"/>
    <row r="105" spans="1:14" x14ac:dyDescent="0.2">
      <c r="A105" s="90" t="s">
        <v>1616</v>
      </c>
      <c r="B105" s="88"/>
      <c r="C105" s="88"/>
      <c r="D105" s="88"/>
      <c r="E105" s="88"/>
      <c r="F105" s="88"/>
      <c r="G105" s="88"/>
      <c r="H105" s="88"/>
      <c r="I105" s="88"/>
      <c r="J105" s="88"/>
      <c r="K105" s="88"/>
      <c r="L105" s="88"/>
      <c r="M105" s="88"/>
      <c r="N105" s="89"/>
    </row>
    <row r="106" spans="1:14" x14ac:dyDescent="0.2">
      <c r="A106" s="87" t="s">
        <v>1590</v>
      </c>
      <c r="B106" s="88"/>
      <c r="C106" s="88"/>
      <c r="D106" s="88"/>
      <c r="E106" s="88"/>
      <c r="F106" s="88"/>
      <c r="G106" s="88"/>
      <c r="H106" s="88"/>
      <c r="I106" s="88"/>
      <c r="J106" s="88"/>
      <c r="K106" s="88"/>
      <c r="L106" s="88"/>
      <c r="M106" s="88"/>
      <c r="N106" s="89"/>
    </row>
    <row r="107" spans="1:14" x14ac:dyDescent="0.2">
      <c r="A107" s="87" t="s">
        <v>1591</v>
      </c>
      <c r="B107" s="88"/>
      <c r="C107" s="88"/>
      <c r="D107" s="88"/>
      <c r="E107" s="88"/>
      <c r="F107" s="88"/>
      <c r="G107" s="88"/>
      <c r="H107" s="88"/>
      <c r="I107" s="88"/>
      <c r="J107" s="88"/>
      <c r="K107" s="88"/>
      <c r="L107" s="88"/>
      <c r="M107" s="88"/>
      <c r="N107" s="89"/>
    </row>
    <row r="108" spans="1:14" x14ac:dyDescent="0.2">
      <c r="A108" s="87" t="s">
        <v>1592</v>
      </c>
      <c r="B108" s="88"/>
      <c r="C108" s="88"/>
      <c r="D108" s="88"/>
      <c r="E108" s="88"/>
      <c r="F108" s="88"/>
      <c r="G108" s="88"/>
      <c r="H108" s="88"/>
      <c r="I108" s="88"/>
      <c r="J108" s="88"/>
      <c r="K108" s="88"/>
      <c r="L108" s="88"/>
      <c r="M108" s="88"/>
      <c r="N108" s="89"/>
    </row>
    <row r="109" spans="1:14" x14ac:dyDescent="0.2">
      <c r="A109" s="87" t="s">
        <v>1593</v>
      </c>
      <c r="B109" s="88"/>
      <c r="C109" s="88"/>
      <c r="D109" s="88"/>
      <c r="E109" s="88"/>
      <c r="F109" s="88"/>
      <c r="G109" s="88"/>
      <c r="H109" s="88"/>
      <c r="I109" s="88"/>
      <c r="J109" s="88"/>
      <c r="K109" s="88"/>
      <c r="L109" s="88"/>
      <c r="M109" s="88"/>
      <c r="N109" s="89"/>
    </row>
    <row r="110" spans="1:14" x14ac:dyDescent="0.2">
      <c r="A110" s="87" t="s">
        <v>1898</v>
      </c>
      <c r="B110" s="88"/>
      <c r="C110" s="88"/>
      <c r="D110" s="88"/>
      <c r="E110" s="88"/>
      <c r="F110" s="88"/>
      <c r="G110" s="88"/>
      <c r="H110" s="88"/>
      <c r="I110" s="88"/>
      <c r="J110" s="88"/>
      <c r="K110" s="88"/>
      <c r="L110" s="88"/>
      <c r="M110" s="88"/>
      <c r="N110" s="89"/>
    </row>
    <row r="111" spans="1:14" x14ac:dyDescent="0.2">
      <c r="A111" s="87" t="s">
        <v>1594</v>
      </c>
      <c r="B111" s="88"/>
      <c r="C111" s="88"/>
      <c r="D111" s="88"/>
      <c r="E111" s="88"/>
      <c r="F111" s="88"/>
      <c r="G111" s="88"/>
      <c r="H111" s="88"/>
      <c r="I111" s="88"/>
      <c r="J111" s="88"/>
      <c r="K111" s="88"/>
      <c r="L111" s="88"/>
      <c r="M111" s="88"/>
      <c r="N111" s="89"/>
    </row>
    <row r="112" spans="1:14" x14ac:dyDescent="0.2">
      <c r="A112" s="87" t="s">
        <v>1595</v>
      </c>
      <c r="B112" s="88"/>
      <c r="C112" s="88"/>
      <c r="D112" s="88"/>
      <c r="E112" s="88"/>
      <c r="F112" s="88"/>
      <c r="G112" s="88"/>
      <c r="H112" s="88"/>
      <c r="I112" s="88"/>
      <c r="J112" s="88"/>
      <c r="K112" s="88"/>
      <c r="L112" s="88"/>
      <c r="M112" s="88"/>
      <c r="N112" s="89"/>
    </row>
    <row r="113" spans="1:14" x14ac:dyDescent="0.2">
      <c r="A113" s="87" t="s">
        <v>1596</v>
      </c>
      <c r="B113" s="88"/>
      <c r="C113" s="88"/>
      <c r="D113" s="88"/>
      <c r="E113" s="88"/>
      <c r="F113" s="88"/>
      <c r="G113" s="88"/>
      <c r="H113" s="88"/>
      <c r="I113" s="88"/>
      <c r="J113" s="88"/>
      <c r="K113" s="88"/>
      <c r="L113" s="88"/>
      <c r="M113" s="88"/>
      <c r="N113" s="89"/>
    </row>
  </sheetData>
  <mergeCells count="47">
    <mergeCell ref="C6:E6"/>
    <mergeCell ref="C7:E7"/>
    <mergeCell ref="B10:E10"/>
    <mergeCell ref="B1:E1"/>
    <mergeCell ref="C2:E2"/>
    <mergeCell ref="C3:E3"/>
    <mergeCell ref="C4:E4"/>
    <mergeCell ref="C5:E5"/>
    <mergeCell ref="G10:I10"/>
    <mergeCell ref="C11:E11"/>
    <mergeCell ref="C12:E12"/>
    <mergeCell ref="C14:E14"/>
    <mergeCell ref="C13:E13"/>
    <mergeCell ref="C15:E15"/>
    <mergeCell ref="C16:E16"/>
    <mergeCell ref="C17:E17"/>
    <mergeCell ref="C18:E18"/>
    <mergeCell ref="B20:E20"/>
    <mergeCell ref="B34:E34"/>
    <mergeCell ref="G34:J34"/>
    <mergeCell ref="C35:E35"/>
    <mergeCell ref="H35:J35"/>
    <mergeCell ref="L58:T58"/>
    <mergeCell ref="C36:E36"/>
    <mergeCell ref="H36:J36"/>
    <mergeCell ref="C37:E37"/>
    <mergeCell ref="H37:J37"/>
    <mergeCell ref="C38:E38"/>
    <mergeCell ref="H38:J38"/>
    <mergeCell ref="J86:K86"/>
    <mergeCell ref="J87:K87"/>
    <mergeCell ref="J88:K88"/>
    <mergeCell ref="J89:K89"/>
    <mergeCell ref="H39:J39"/>
    <mergeCell ref="B58:J58"/>
    <mergeCell ref="B72:J72"/>
    <mergeCell ref="B84:H84"/>
    <mergeCell ref="J85:K85"/>
    <mergeCell ref="A110:N110"/>
    <mergeCell ref="A111:N111"/>
    <mergeCell ref="A112:N112"/>
    <mergeCell ref="A113:N113"/>
    <mergeCell ref="A105:N105"/>
    <mergeCell ref="A106:N106"/>
    <mergeCell ref="A107:N107"/>
    <mergeCell ref="A108:N108"/>
    <mergeCell ref="A109:N109"/>
  </mergeCells>
  <pageMargins left="0.7" right="0.7" top="0.75" bottom="0.75" header="0.3" footer="0.3"/>
  <pageSetup paperSize="9"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C1F1-F3C7-4516-B390-814DD36E91D2}">
  <dimension ref="A1:W114"/>
  <sheetViews>
    <sheetView topLeftCell="A34" zoomScale="116" workbookViewId="0">
      <selection activeCell="H38" sqref="H38:J38"/>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1064</v>
      </c>
      <c r="D2" s="101"/>
      <c r="E2" s="101"/>
    </row>
    <row r="3" spans="2:9" ht="12.75" customHeight="1" x14ac:dyDescent="0.2">
      <c r="B3" s="13" t="s">
        <v>69</v>
      </c>
      <c r="C3" s="101" t="s">
        <v>1065</v>
      </c>
      <c r="D3" s="101"/>
      <c r="E3" s="101"/>
    </row>
    <row r="4" spans="2:9" ht="12.75" customHeight="1" x14ac:dyDescent="0.2">
      <c r="B4" s="13" t="s">
        <v>68</v>
      </c>
      <c r="C4" s="101" t="s">
        <v>1066</v>
      </c>
      <c r="D4" s="101"/>
      <c r="E4" s="101"/>
    </row>
    <row r="5" spans="2:9" ht="12.75" customHeight="1" x14ac:dyDescent="0.2">
      <c r="B5" s="13" t="s">
        <v>67</v>
      </c>
      <c r="C5" s="101" t="s">
        <v>1067</v>
      </c>
      <c r="D5" s="101"/>
      <c r="E5" s="101"/>
    </row>
    <row r="6" spans="2:9" ht="12.75" customHeight="1" x14ac:dyDescent="0.2">
      <c r="B6" s="13" t="s">
        <v>66</v>
      </c>
      <c r="C6" s="101" t="s">
        <v>1068</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25" t="s">
        <v>1092</v>
      </c>
      <c r="C11" s="99" t="s">
        <v>1069</v>
      </c>
      <c r="D11" s="99"/>
      <c r="E11" s="99"/>
      <c r="G11" s="4" t="s">
        <v>62</v>
      </c>
      <c r="H11" s="4" t="s">
        <v>61</v>
      </c>
      <c r="I11" s="4" t="s">
        <v>60</v>
      </c>
    </row>
    <row r="12" spans="2:9" ht="45" customHeight="1" x14ac:dyDescent="0.2">
      <c r="B12" s="25" t="s">
        <v>1093</v>
      </c>
      <c r="C12" s="99" t="s">
        <v>1070</v>
      </c>
      <c r="D12" s="99"/>
      <c r="E12" s="99"/>
      <c r="G12" s="19">
        <v>1</v>
      </c>
      <c r="H12" s="23" t="s">
        <v>1076</v>
      </c>
      <c r="I12" s="19" t="s">
        <v>1084</v>
      </c>
    </row>
    <row r="13" spans="2:9" ht="62.25" customHeight="1" x14ac:dyDescent="0.2">
      <c r="B13" s="25" t="s">
        <v>1094</v>
      </c>
      <c r="C13" s="99" t="s">
        <v>1071</v>
      </c>
      <c r="D13" s="99"/>
      <c r="E13" s="99"/>
      <c r="G13" s="19">
        <v>2</v>
      </c>
      <c r="H13" s="23" t="s">
        <v>1077</v>
      </c>
      <c r="I13" s="19" t="s">
        <v>1085</v>
      </c>
    </row>
    <row r="14" spans="2:9" ht="54.75" customHeight="1" x14ac:dyDescent="0.2">
      <c r="B14" s="25" t="s">
        <v>1095</v>
      </c>
      <c r="C14" s="99" t="s">
        <v>1072</v>
      </c>
      <c r="D14" s="99"/>
      <c r="E14" s="99"/>
      <c r="G14" s="19">
        <v>3</v>
      </c>
      <c r="H14" s="23" t="s">
        <v>1078</v>
      </c>
      <c r="I14" s="19" t="s">
        <v>1086</v>
      </c>
    </row>
    <row r="15" spans="2:9" ht="54.75" customHeight="1" x14ac:dyDescent="0.2">
      <c r="B15" s="25" t="s">
        <v>1096</v>
      </c>
      <c r="C15" s="99" t="s">
        <v>1073</v>
      </c>
      <c r="D15" s="99"/>
      <c r="E15" s="99"/>
      <c r="G15" s="19">
        <v>4</v>
      </c>
      <c r="H15" s="23" t="s">
        <v>1079</v>
      </c>
      <c r="I15" s="19" t="s">
        <v>1087</v>
      </c>
    </row>
    <row r="16" spans="2:9" ht="54.75" customHeight="1" x14ac:dyDescent="0.2">
      <c r="B16" s="25" t="s">
        <v>1097</v>
      </c>
      <c r="C16" s="99" t="s">
        <v>1074</v>
      </c>
      <c r="D16" s="99"/>
      <c r="E16" s="99"/>
      <c r="G16" s="19">
        <v>5</v>
      </c>
      <c r="H16" s="23" t="s">
        <v>1080</v>
      </c>
      <c r="I16" s="19" t="s">
        <v>1088</v>
      </c>
    </row>
    <row r="17" spans="2:9" ht="54.75" customHeight="1" x14ac:dyDescent="0.2">
      <c r="B17" s="25" t="s">
        <v>1098</v>
      </c>
      <c r="C17" s="99" t="s">
        <v>1075</v>
      </c>
      <c r="D17" s="99"/>
      <c r="E17" s="99"/>
      <c r="G17" s="19">
        <v>6</v>
      </c>
      <c r="H17" s="23" t="s">
        <v>1081</v>
      </c>
      <c r="I17" s="19" t="s">
        <v>1089</v>
      </c>
    </row>
    <row r="18" spans="2:9" ht="60" x14ac:dyDescent="0.2">
      <c r="G18" s="19">
        <v>7</v>
      </c>
      <c r="H18" s="23" t="s">
        <v>1082</v>
      </c>
      <c r="I18" s="19" t="s">
        <v>1090</v>
      </c>
    </row>
    <row r="19" spans="2:9" ht="12.75" customHeight="1" x14ac:dyDescent="0.2">
      <c r="B19" s="134" t="s">
        <v>58</v>
      </c>
      <c r="C19" s="135"/>
      <c r="D19" s="135"/>
      <c r="E19" s="135"/>
      <c r="G19" s="19">
        <v>8</v>
      </c>
      <c r="H19" s="23" t="s">
        <v>1083</v>
      </c>
      <c r="I19" s="19" t="s">
        <v>1091</v>
      </c>
    </row>
    <row r="20" spans="2:9" ht="15" x14ac:dyDescent="0.2">
      <c r="B20" s="4" t="s">
        <v>57</v>
      </c>
      <c r="C20" s="4" t="s">
        <v>56</v>
      </c>
      <c r="D20" s="4" t="s">
        <v>57</v>
      </c>
      <c r="E20" s="4" t="s">
        <v>56</v>
      </c>
      <c r="G20" s="19">
        <v>9</v>
      </c>
      <c r="H20" s="19"/>
      <c r="I20" s="19"/>
    </row>
    <row r="21" spans="2:9" ht="150" x14ac:dyDescent="0.2">
      <c r="B21" s="25" t="s">
        <v>1099</v>
      </c>
      <c r="C21" s="23" t="s">
        <v>1108</v>
      </c>
      <c r="D21" s="25" t="s">
        <v>1117</v>
      </c>
      <c r="E21" s="23" t="s">
        <v>1900</v>
      </c>
      <c r="G21" s="19">
        <v>10</v>
      </c>
      <c r="H21" s="19"/>
      <c r="I21" s="19"/>
    </row>
    <row r="22" spans="2:9" ht="60" x14ac:dyDescent="0.2">
      <c r="B22" s="25" t="s">
        <v>1100</v>
      </c>
      <c r="C22" s="23" t="s">
        <v>1109</v>
      </c>
      <c r="D22" s="25" t="s">
        <v>1118</v>
      </c>
      <c r="E22" s="23" t="s">
        <v>1119</v>
      </c>
      <c r="G22" s="19">
        <v>11</v>
      </c>
      <c r="H22" s="19"/>
      <c r="I22" s="19"/>
    </row>
    <row r="23" spans="2:9" ht="150" x14ac:dyDescent="0.2">
      <c r="B23" s="25" t="s">
        <v>1101</v>
      </c>
      <c r="C23" s="23" t="s">
        <v>1903</v>
      </c>
      <c r="D23" s="25" t="s">
        <v>1120</v>
      </c>
      <c r="E23" s="23" t="s">
        <v>1121</v>
      </c>
      <c r="G23" s="18"/>
      <c r="H23" s="6"/>
      <c r="I23" s="6"/>
    </row>
    <row r="24" spans="2:9" ht="15" x14ac:dyDescent="0.2">
      <c r="B24" s="25" t="s">
        <v>1102</v>
      </c>
      <c r="C24" s="26" t="s">
        <v>1110</v>
      </c>
      <c r="D24" s="25" t="s">
        <v>35</v>
      </c>
      <c r="E24" s="23" t="s">
        <v>1122</v>
      </c>
      <c r="G24" s="18"/>
      <c r="H24" s="6"/>
      <c r="I24" s="6"/>
    </row>
    <row r="25" spans="2:9" ht="30" x14ac:dyDescent="0.2">
      <c r="B25" s="25" t="s">
        <v>1103</v>
      </c>
      <c r="C25" s="23" t="s">
        <v>1111</v>
      </c>
      <c r="D25" s="25" t="s">
        <v>55</v>
      </c>
      <c r="E25" s="23" t="s">
        <v>1123</v>
      </c>
      <c r="G25" s="18"/>
      <c r="H25" s="6"/>
      <c r="I25" s="6"/>
    </row>
    <row r="26" spans="2:9" ht="75" x14ac:dyDescent="0.2">
      <c r="B26" s="25" t="s">
        <v>1104</v>
      </c>
      <c r="C26" s="86" t="s">
        <v>1904</v>
      </c>
      <c r="D26" s="25" t="s">
        <v>24</v>
      </c>
      <c r="E26" s="23" t="s">
        <v>1124</v>
      </c>
      <c r="G26" s="6"/>
      <c r="H26" s="6"/>
      <c r="I26" s="6"/>
    </row>
    <row r="27" spans="2:9" ht="60" x14ac:dyDescent="0.2">
      <c r="B27" s="25" t="s">
        <v>1105</v>
      </c>
      <c r="C27" s="23" t="s">
        <v>1112</v>
      </c>
      <c r="D27" s="25" t="s">
        <v>26</v>
      </c>
      <c r="E27" s="23" t="s">
        <v>1125</v>
      </c>
      <c r="G27" s="6"/>
      <c r="H27" s="6"/>
      <c r="I27" s="6"/>
    </row>
    <row r="28" spans="2:9" ht="60" x14ac:dyDescent="0.2">
      <c r="B28" s="25" t="s">
        <v>1106</v>
      </c>
      <c r="C28" s="26" t="s">
        <v>1113</v>
      </c>
      <c r="D28" s="25" t="s">
        <v>1126</v>
      </c>
      <c r="E28" s="23" t="s">
        <v>1127</v>
      </c>
      <c r="G28" s="6"/>
      <c r="H28" s="6"/>
      <c r="I28" s="6"/>
    </row>
    <row r="29" spans="2:9" ht="45" x14ac:dyDescent="0.2">
      <c r="B29" s="25" t="s">
        <v>1107</v>
      </c>
      <c r="C29" s="23" t="s">
        <v>1114</v>
      </c>
      <c r="D29" s="25" t="s">
        <v>5</v>
      </c>
      <c r="E29" s="23" t="s">
        <v>1128</v>
      </c>
      <c r="G29" s="6"/>
      <c r="H29" s="6"/>
      <c r="I29" s="6"/>
    </row>
    <row r="30" spans="2:9" ht="30" x14ac:dyDescent="0.2">
      <c r="B30" s="25" t="s">
        <v>1115</v>
      </c>
      <c r="C30" s="26" t="s">
        <v>1116</v>
      </c>
      <c r="D30" s="25" t="s">
        <v>23</v>
      </c>
      <c r="E30" s="23" t="s">
        <v>1129</v>
      </c>
    </row>
    <row r="31" spans="2:9" ht="17" x14ac:dyDescent="0.2">
      <c r="B31" s="16" t="s">
        <v>54</v>
      </c>
      <c r="G31" s="16" t="s">
        <v>53</v>
      </c>
    </row>
    <row r="33" spans="2:23" ht="12.75" customHeight="1" x14ac:dyDescent="0.2">
      <c r="B33" s="98" t="s">
        <v>52</v>
      </c>
      <c r="C33" s="98"/>
      <c r="D33" s="98"/>
      <c r="E33" s="98"/>
      <c r="G33" s="98" t="s">
        <v>51</v>
      </c>
      <c r="H33" s="98"/>
      <c r="I33" s="98"/>
      <c r="J33" s="98"/>
    </row>
    <row r="34" spans="2:23" ht="60" customHeight="1" x14ac:dyDescent="0.2">
      <c r="B34" s="25" t="s">
        <v>50</v>
      </c>
      <c r="C34" s="99" t="s">
        <v>1135</v>
      </c>
      <c r="D34" s="99"/>
      <c r="E34" s="99"/>
      <c r="G34" s="6" t="s">
        <v>49</v>
      </c>
      <c r="H34" s="99" t="s">
        <v>1140</v>
      </c>
      <c r="I34" s="99"/>
      <c r="J34" s="99"/>
    </row>
    <row r="35" spans="2:23" ht="96" customHeight="1" x14ac:dyDescent="0.2">
      <c r="B35" s="25" t="s">
        <v>1130</v>
      </c>
      <c r="C35" s="99" t="s">
        <v>1899</v>
      </c>
      <c r="D35" s="99"/>
      <c r="E35" s="99"/>
      <c r="G35" s="6" t="s">
        <v>47</v>
      </c>
      <c r="H35" s="99" t="s">
        <v>1901</v>
      </c>
      <c r="I35" s="99"/>
      <c r="J35" s="99"/>
    </row>
    <row r="36" spans="2:23" ht="53.5" customHeight="1" x14ac:dyDescent="0.2">
      <c r="B36" s="25" t="s">
        <v>1131</v>
      </c>
      <c r="C36" s="100" t="s">
        <v>1136</v>
      </c>
      <c r="D36" s="100"/>
      <c r="E36" s="100"/>
      <c r="G36" s="6" t="s">
        <v>45</v>
      </c>
      <c r="H36" s="100"/>
      <c r="I36" s="100"/>
      <c r="J36" s="100"/>
    </row>
    <row r="37" spans="2:23" ht="67" customHeight="1" x14ac:dyDescent="0.2">
      <c r="B37" s="25" t="s">
        <v>1132</v>
      </c>
      <c r="C37" s="101" t="s">
        <v>1137</v>
      </c>
      <c r="D37" s="101"/>
      <c r="E37" s="101"/>
      <c r="G37" s="6" t="s">
        <v>43</v>
      </c>
      <c r="H37" s="101"/>
      <c r="I37" s="101"/>
      <c r="J37" s="101"/>
    </row>
    <row r="38" spans="2:23" ht="67" customHeight="1" x14ac:dyDescent="0.2">
      <c r="B38" s="25" t="s">
        <v>1133</v>
      </c>
      <c r="C38" s="101" t="s">
        <v>1138</v>
      </c>
      <c r="D38" s="101"/>
      <c r="E38" s="101"/>
      <c r="G38" s="6" t="s">
        <v>42</v>
      </c>
      <c r="H38" s="146" t="s">
        <v>1905</v>
      </c>
      <c r="I38" s="146"/>
      <c r="J38" s="146"/>
    </row>
    <row r="39" spans="2:23" ht="67" customHeight="1" x14ac:dyDescent="0.2">
      <c r="B39" s="25" t="s">
        <v>1134</v>
      </c>
      <c r="C39" s="101" t="s">
        <v>1139</v>
      </c>
      <c r="D39" s="101"/>
      <c r="E39" s="101"/>
      <c r="G39" s="6"/>
      <c r="H39" s="101"/>
      <c r="I39" s="101"/>
      <c r="J39" s="101"/>
    </row>
    <row r="40" spans="2:23" ht="67" customHeight="1" x14ac:dyDescent="0.2">
      <c r="B40" s="25" t="s">
        <v>43</v>
      </c>
      <c r="C40" s="101" t="s">
        <v>1902</v>
      </c>
      <c r="D40" s="101"/>
      <c r="E40" s="101"/>
      <c r="G40" s="6"/>
      <c r="H40" s="93"/>
      <c r="I40" s="94"/>
      <c r="J40" s="95"/>
    </row>
    <row r="42" spans="2:23" ht="68" x14ac:dyDescent="0.2">
      <c r="B42" s="16" t="s">
        <v>41</v>
      </c>
      <c r="P42" s="16" t="s">
        <v>40</v>
      </c>
      <c r="Q42" s="1"/>
      <c r="R42" s="1"/>
      <c r="S42" s="1"/>
      <c r="T42" s="1"/>
      <c r="U42" s="1"/>
      <c r="V42" s="1"/>
      <c r="W42" s="1"/>
    </row>
    <row r="43" spans="2:23" x14ac:dyDescent="0.2">
      <c r="P43" s="1"/>
      <c r="Q43" s="1"/>
      <c r="R43" s="1"/>
      <c r="S43" s="1"/>
      <c r="T43" s="1"/>
      <c r="U43" s="1"/>
      <c r="V43" s="1"/>
      <c r="W43" s="1"/>
    </row>
    <row r="44" spans="2:23" ht="30" x14ac:dyDescent="0.2">
      <c r="B44" s="15" t="s">
        <v>39</v>
      </c>
      <c r="C44" s="15" t="s">
        <v>38</v>
      </c>
      <c r="D44" s="15">
        <v>2</v>
      </c>
      <c r="E44" s="15">
        <v>3</v>
      </c>
      <c r="F44" s="15">
        <v>4</v>
      </c>
      <c r="G44" s="15">
        <v>5</v>
      </c>
      <c r="H44" s="15">
        <v>6</v>
      </c>
      <c r="I44" s="15">
        <v>7</v>
      </c>
      <c r="J44" s="15">
        <v>8</v>
      </c>
      <c r="K44" s="15">
        <v>9</v>
      </c>
      <c r="L44" s="15">
        <v>10</v>
      </c>
      <c r="P44" s="15" t="s">
        <v>39</v>
      </c>
      <c r="Q44" s="15" t="s">
        <v>38</v>
      </c>
      <c r="R44" s="15">
        <v>2</v>
      </c>
      <c r="S44" s="15">
        <v>3</v>
      </c>
      <c r="T44" s="15">
        <v>4</v>
      </c>
      <c r="U44" s="15">
        <v>5</v>
      </c>
      <c r="V44" s="15">
        <v>6</v>
      </c>
      <c r="W44" s="15">
        <v>7</v>
      </c>
    </row>
    <row r="45" spans="2:23" ht="123" customHeight="1" x14ac:dyDescent="0.2">
      <c r="B45" s="5" t="s">
        <v>37</v>
      </c>
      <c r="C45" s="5" t="s">
        <v>1141</v>
      </c>
      <c r="D45" s="5" t="s">
        <v>1142</v>
      </c>
      <c r="E45" s="5" t="s">
        <v>1143</v>
      </c>
      <c r="F45" s="5" t="s">
        <v>1144</v>
      </c>
      <c r="G45" s="5" t="s">
        <v>1145</v>
      </c>
      <c r="H45" s="5" t="s">
        <v>1146</v>
      </c>
      <c r="I45" s="5" t="s">
        <v>1147</v>
      </c>
      <c r="J45" s="5" t="s">
        <v>1148</v>
      </c>
      <c r="K45" s="5" t="s">
        <v>1149</v>
      </c>
      <c r="L45" s="5" t="s">
        <v>1150</v>
      </c>
      <c r="P45" s="5" t="s">
        <v>37</v>
      </c>
      <c r="Q45" s="85" t="s">
        <v>1769</v>
      </c>
      <c r="R45" s="85" t="s">
        <v>1770</v>
      </c>
      <c r="S45" s="84" t="s">
        <v>1771</v>
      </c>
      <c r="T45" s="85" t="s">
        <v>1772</v>
      </c>
      <c r="U45" s="85" t="s">
        <v>1773</v>
      </c>
      <c r="V45" s="85" t="s">
        <v>1774</v>
      </c>
      <c r="W45" s="85" t="s">
        <v>1775</v>
      </c>
    </row>
    <row r="46" spans="2:23" ht="180" x14ac:dyDescent="0.2">
      <c r="B46" s="13" t="s">
        <v>36</v>
      </c>
      <c r="C46" s="23" t="s">
        <v>1151</v>
      </c>
      <c r="D46" s="23" t="s">
        <v>1152</v>
      </c>
      <c r="E46" s="23" t="s">
        <v>1153</v>
      </c>
      <c r="F46" s="23" t="s">
        <v>1154</v>
      </c>
      <c r="G46" s="23" t="s">
        <v>1155</v>
      </c>
      <c r="H46" s="23" t="s">
        <v>1156</v>
      </c>
      <c r="I46" s="23" t="s">
        <v>1157</v>
      </c>
      <c r="J46" s="23" t="s">
        <v>1158</v>
      </c>
      <c r="K46" s="23" t="s">
        <v>1159</v>
      </c>
      <c r="L46" s="23" t="s">
        <v>1160</v>
      </c>
      <c r="P46" s="13" t="s">
        <v>36</v>
      </c>
      <c r="Q46" s="6" t="s">
        <v>1776</v>
      </c>
      <c r="R46" s="6" t="s">
        <v>1777</v>
      </c>
      <c r="S46" s="6" t="s">
        <v>1778</v>
      </c>
      <c r="T46" s="6" t="s">
        <v>1779</v>
      </c>
      <c r="U46" s="6" t="s">
        <v>1780</v>
      </c>
      <c r="V46" s="6" t="s">
        <v>1781</v>
      </c>
      <c r="W46" s="6" t="s">
        <v>1782</v>
      </c>
    </row>
    <row r="47" spans="2:23" ht="45" x14ac:dyDescent="0.2">
      <c r="B47" s="13" t="s">
        <v>9</v>
      </c>
      <c r="C47" s="23" t="s">
        <v>1161</v>
      </c>
      <c r="D47" s="26" t="s">
        <v>16</v>
      </c>
      <c r="E47" s="23" t="s">
        <v>1162</v>
      </c>
      <c r="F47" s="23" t="s">
        <v>1163</v>
      </c>
      <c r="G47" s="26" t="s">
        <v>19</v>
      </c>
      <c r="H47" s="23" t="s">
        <v>1164</v>
      </c>
      <c r="I47" s="23" t="s">
        <v>1165</v>
      </c>
      <c r="J47" s="23" t="s">
        <v>1166</v>
      </c>
      <c r="K47" s="23" t="s">
        <v>1167</v>
      </c>
      <c r="L47" s="26" t="s">
        <v>18</v>
      </c>
      <c r="P47" s="13" t="s">
        <v>9</v>
      </c>
      <c r="Q47" s="6" t="s">
        <v>18</v>
      </c>
      <c r="R47" s="7" t="s">
        <v>18</v>
      </c>
      <c r="S47" s="6" t="s">
        <v>16</v>
      </c>
      <c r="T47" s="6" t="s">
        <v>18</v>
      </c>
      <c r="U47" s="6" t="s">
        <v>21</v>
      </c>
      <c r="V47" s="6" t="s">
        <v>16</v>
      </c>
      <c r="W47" s="7" t="s">
        <v>21</v>
      </c>
    </row>
    <row r="48" spans="2:23" ht="30" x14ac:dyDescent="0.2">
      <c r="B48" s="13" t="s">
        <v>28</v>
      </c>
      <c r="C48" s="23" t="s">
        <v>1168</v>
      </c>
      <c r="D48" s="23" t="s">
        <v>1169</v>
      </c>
      <c r="E48" s="23" t="s">
        <v>1170</v>
      </c>
      <c r="F48" s="26" t="s">
        <v>1171</v>
      </c>
      <c r="G48" s="26" t="s">
        <v>179</v>
      </c>
      <c r="H48" s="26" t="s">
        <v>18</v>
      </c>
      <c r="I48" s="23" t="s">
        <v>1172</v>
      </c>
      <c r="J48" s="23" t="s">
        <v>1173</v>
      </c>
      <c r="K48" s="26" t="s">
        <v>179</v>
      </c>
      <c r="L48" s="26" t="s">
        <v>18</v>
      </c>
      <c r="P48" s="13" t="s">
        <v>28</v>
      </c>
      <c r="Q48" s="6" t="s">
        <v>18</v>
      </c>
      <c r="R48" s="8" t="s">
        <v>18</v>
      </c>
      <c r="S48" s="6" t="s">
        <v>440</v>
      </c>
      <c r="T48" s="6" t="s">
        <v>18</v>
      </c>
      <c r="U48" s="7" t="s">
        <v>179</v>
      </c>
      <c r="V48" s="6" t="s">
        <v>18</v>
      </c>
      <c r="W48" s="6" t="s">
        <v>179</v>
      </c>
    </row>
    <row r="49" spans="2:23" ht="15" x14ac:dyDescent="0.2">
      <c r="B49" s="13" t="s">
        <v>35</v>
      </c>
      <c r="C49" s="26" t="s">
        <v>16</v>
      </c>
      <c r="D49" s="26" t="s">
        <v>16</v>
      </c>
      <c r="E49" s="26" t="s">
        <v>16</v>
      </c>
      <c r="F49" s="26" t="s">
        <v>16</v>
      </c>
      <c r="G49" s="26" t="s">
        <v>16</v>
      </c>
      <c r="H49" s="26" t="s">
        <v>20</v>
      </c>
      <c r="I49" s="26" t="s">
        <v>20</v>
      </c>
      <c r="J49" s="26" t="s">
        <v>16</v>
      </c>
      <c r="K49" s="26" t="s">
        <v>20</v>
      </c>
      <c r="L49" s="26" t="s">
        <v>20</v>
      </c>
      <c r="P49" s="13" t="s">
        <v>35</v>
      </c>
      <c r="Q49" s="7" t="s">
        <v>20</v>
      </c>
      <c r="R49" s="6" t="s">
        <v>20</v>
      </c>
      <c r="S49" s="6" t="s">
        <v>20</v>
      </c>
      <c r="T49" s="6" t="s">
        <v>20</v>
      </c>
      <c r="U49" s="6" t="s">
        <v>20</v>
      </c>
      <c r="V49" s="6" t="s">
        <v>20</v>
      </c>
      <c r="W49" s="6" t="s">
        <v>20</v>
      </c>
    </row>
    <row r="50" spans="2:23" ht="30" x14ac:dyDescent="0.2">
      <c r="B50" s="13" t="s">
        <v>26</v>
      </c>
      <c r="C50" s="23" t="s">
        <v>1174</v>
      </c>
      <c r="D50" s="23" t="s">
        <v>1175</v>
      </c>
      <c r="E50" s="26" t="s">
        <v>1868</v>
      </c>
      <c r="F50" s="26" t="s">
        <v>333</v>
      </c>
      <c r="G50" s="26" t="s">
        <v>1869</v>
      </c>
      <c r="H50" s="26" t="s">
        <v>696</v>
      </c>
      <c r="I50" s="26" t="s">
        <v>1869</v>
      </c>
      <c r="J50" s="26" t="s">
        <v>1870</v>
      </c>
      <c r="K50" s="26" t="s">
        <v>1869</v>
      </c>
      <c r="L50" s="26" t="s">
        <v>1869</v>
      </c>
      <c r="P50" s="13" t="s">
        <v>26</v>
      </c>
      <c r="Q50" s="7" t="s">
        <v>1631</v>
      </c>
      <c r="R50" s="6" t="s">
        <v>1631</v>
      </c>
      <c r="S50" s="6" t="s">
        <v>1631</v>
      </c>
      <c r="T50" s="6" t="s">
        <v>1631</v>
      </c>
      <c r="U50" s="6" t="s">
        <v>140</v>
      </c>
      <c r="V50" s="7" t="s">
        <v>140</v>
      </c>
      <c r="W50" s="6" t="s">
        <v>1631</v>
      </c>
    </row>
    <row r="51" spans="2:23" ht="30" x14ac:dyDescent="0.2">
      <c r="B51" s="13" t="s">
        <v>25</v>
      </c>
      <c r="C51" s="26" t="s">
        <v>1176</v>
      </c>
      <c r="D51" s="23" t="s">
        <v>1177</v>
      </c>
      <c r="E51" s="26" t="s">
        <v>142</v>
      </c>
      <c r="F51" s="26" t="s">
        <v>833</v>
      </c>
      <c r="G51" s="26" t="s">
        <v>350</v>
      </c>
      <c r="H51" s="26" t="s">
        <v>21</v>
      </c>
      <c r="I51" s="26" t="s">
        <v>21</v>
      </c>
      <c r="J51" s="26" t="s">
        <v>21</v>
      </c>
      <c r="K51" s="26" t="s">
        <v>21</v>
      </c>
      <c r="L51" s="26" t="s">
        <v>21</v>
      </c>
      <c r="P51" s="13" t="s">
        <v>25</v>
      </c>
      <c r="Q51" s="7" t="s">
        <v>1657</v>
      </c>
      <c r="R51" s="6" t="s">
        <v>1657</v>
      </c>
      <c r="S51" s="6" t="s">
        <v>1657</v>
      </c>
      <c r="T51" s="6" t="s">
        <v>1657</v>
      </c>
      <c r="U51" s="7" t="s">
        <v>1657</v>
      </c>
      <c r="V51" s="6" t="s">
        <v>1657</v>
      </c>
      <c r="W51" s="6" t="s">
        <v>1657</v>
      </c>
    </row>
    <row r="52" spans="2:23" ht="30" x14ac:dyDescent="0.2">
      <c r="B52" s="13" t="s">
        <v>34</v>
      </c>
      <c r="C52" s="26" t="s">
        <v>17</v>
      </c>
      <c r="D52" s="26" t="s">
        <v>1178</v>
      </c>
      <c r="E52" s="26" t="s">
        <v>1872</v>
      </c>
      <c r="F52" s="26" t="s">
        <v>18</v>
      </c>
      <c r="G52" s="26" t="s">
        <v>350</v>
      </c>
      <c r="H52" s="23" t="s">
        <v>1873</v>
      </c>
      <c r="I52" s="26" t="s">
        <v>141</v>
      </c>
      <c r="J52" s="26" t="s">
        <v>141</v>
      </c>
      <c r="K52" s="26" t="s">
        <v>141</v>
      </c>
      <c r="L52" s="26" t="s">
        <v>141</v>
      </c>
      <c r="P52" s="13" t="s">
        <v>34</v>
      </c>
      <c r="Q52" s="7" t="s">
        <v>141</v>
      </c>
      <c r="R52" s="6" t="s">
        <v>141</v>
      </c>
      <c r="S52" s="6" t="s">
        <v>141</v>
      </c>
      <c r="T52" s="6" t="s">
        <v>141</v>
      </c>
      <c r="U52" s="7" t="s">
        <v>141</v>
      </c>
      <c r="V52" s="7" t="s">
        <v>1657</v>
      </c>
      <c r="W52" s="6" t="s">
        <v>141</v>
      </c>
    </row>
    <row r="53" spans="2:23" ht="15" x14ac:dyDescent="0.2">
      <c r="B53" s="13" t="s">
        <v>5</v>
      </c>
      <c r="C53" s="26" t="s">
        <v>142</v>
      </c>
      <c r="D53" s="26" t="s">
        <v>142</v>
      </c>
      <c r="E53" s="26" t="s">
        <v>20</v>
      </c>
      <c r="F53" s="26" t="s">
        <v>20</v>
      </c>
      <c r="G53" s="26" t="s">
        <v>20</v>
      </c>
      <c r="H53" s="26" t="s">
        <v>20</v>
      </c>
      <c r="I53" s="26" t="s">
        <v>20</v>
      </c>
      <c r="J53" s="26" t="s">
        <v>20</v>
      </c>
      <c r="K53" s="26" t="s">
        <v>20</v>
      </c>
      <c r="L53" s="26" t="s">
        <v>20</v>
      </c>
      <c r="P53" s="13" t="s">
        <v>5</v>
      </c>
      <c r="Q53" s="7" t="s">
        <v>695</v>
      </c>
      <c r="R53" s="6" t="s">
        <v>20</v>
      </c>
      <c r="S53" s="6" t="s">
        <v>20</v>
      </c>
      <c r="T53" s="6" t="s">
        <v>20</v>
      </c>
      <c r="U53" s="6" t="s">
        <v>20</v>
      </c>
      <c r="V53" s="6" t="s">
        <v>695</v>
      </c>
      <c r="W53" s="6" t="s">
        <v>20</v>
      </c>
    </row>
    <row r="54" spans="2:23" ht="30" x14ac:dyDescent="0.2">
      <c r="B54" s="13" t="s">
        <v>23</v>
      </c>
      <c r="C54" s="26" t="s">
        <v>142</v>
      </c>
      <c r="D54" s="26" t="s">
        <v>142</v>
      </c>
      <c r="E54" s="26" t="s">
        <v>142</v>
      </c>
      <c r="F54" s="26" t="s">
        <v>142</v>
      </c>
      <c r="G54" s="26" t="s">
        <v>142</v>
      </c>
      <c r="H54" s="26" t="s">
        <v>142</v>
      </c>
      <c r="I54" s="26" t="s">
        <v>20</v>
      </c>
      <c r="J54" s="23" t="s">
        <v>1179</v>
      </c>
      <c r="K54" s="23" t="s">
        <v>1180</v>
      </c>
      <c r="L54" s="26" t="s">
        <v>142</v>
      </c>
      <c r="P54" s="13" t="s">
        <v>23</v>
      </c>
      <c r="Q54" s="7" t="s">
        <v>20</v>
      </c>
      <c r="R54" s="6" t="s">
        <v>20</v>
      </c>
      <c r="S54" s="6" t="s">
        <v>20</v>
      </c>
      <c r="T54" s="6" t="s">
        <v>20</v>
      </c>
      <c r="U54" s="7" t="s">
        <v>20</v>
      </c>
      <c r="V54" s="6" t="s">
        <v>20</v>
      </c>
      <c r="W54" s="7" t="s">
        <v>20</v>
      </c>
    </row>
    <row r="55" spans="2:23" ht="154.5" customHeight="1" x14ac:dyDescent="0.2">
      <c r="B55" s="13" t="s">
        <v>33</v>
      </c>
      <c r="C55" s="23" t="s">
        <v>1181</v>
      </c>
      <c r="D55" s="23" t="s">
        <v>1182</v>
      </c>
      <c r="E55" s="23" t="s">
        <v>1183</v>
      </c>
      <c r="F55" s="23" t="s">
        <v>1184</v>
      </c>
      <c r="G55" s="23" t="s">
        <v>1185</v>
      </c>
      <c r="H55" s="23" t="s">
        <v>1186</v>
      </c>
      <c r="I55" s="23" t="s">
        <v>1187</v>
      </c>
      <c r="J55" s="23" t="s">
        <v>1188</v>
      </c>
      <c r="K55" s="23" t="s">
        <v>1189</v>
      </c>
      <c r="L55" s="23" t="s">
        <v>1190</v>
      </c>
      <c r="P55" s="13" t="s">
        <v>33</v>
      </c>
      <c r="Q55" s="6" t="s">
        <v>1783</v>
      </c>
      <c r="R55" s="6" t="s">
        <v>1784</v>
      </c>
      <c r="S55" s="6" t="s">
        <v>1785</v>
      </c>
      <c r="T55" s="6" t="s">
        <v>1786</v>
      </c>
      <c r="U55" s="7" t="s">
        <v>1787</v>
      </c>
      <c r="V55" s="7" t="s">
        <v>1788</v>
      </c>
      <c r="W55" s="6" t="s">
        <v>1789</v>
      </c>
    </row>
    <row r="56" spans="2:23" ht="23.5" customHeight="1" x14ac:dyDescent="0.2">
      <c r="B56" s="12"/>
      <c r="G56" s="11"/>
      <c r="H56" s="11"/>
    </row>
    <row r="57" spans="2:23" ht="23.5" customHeight="1" x14ac:dyDescent="0.2">
      <c r="B57" s="12"/>
      <c r="G57" s="11"/>
      <c r="H57" s="11"/>
    </row>
    <row r="59" spans="2:23" ht="12.75" customHeight="1" x14ac:dyDescent="0.2">
      <c r="B59" s="96" t="s">
        <v>32</v>
      </c>
      <c r="C59" s="96"/>
      <c r="D59" s="96"/>
      <c r="E59" s="96"/>
      <c r="F59" s="96"/>
      <c r="G59" s="96"/>
      <c r="H59" s="96"/>
      <c r="I59" s="96"/>
      <c r="J59" s="96"/>
      <c r="L59" s="96" t="s">
        <v>31</v>
      </c>
      <c r="M59" s="96"/>
      <c r="N59" s="96"/>
      <c r="O59" s="96"/>
      <c r="P59" s="96"/>
      <c r="Q59" s="96"/>
      <c r="R59" s="96"/>
      <c r="S59" s="96"/>
      <c r="T59" s="96"/>
    </row>
    <row r="60" spans="2:23" ht="30" x14ac:dyDescent="0.2">
      <c r="B60" s="4" t="s">
        <v>10</v>
      </c>
      <c r="C60" s="4" t="s">
        <v>9</v>
      </c>
      <c r="D60" s="4" t="s">
        <v>28</v>
      </c>
      <c r="E60" s="4" t="s">
        <v>27</v>
      </c>
      <c r="F60" s="4" t="s">
        <v>26</v>
      </c>
      <c r="G60" s="4" t="s">
        <v>25</v>
      </c>
      <c r="H60" s="4" t="s">
        <v>24</v>
      </c>
      <c r="I60" s="4" t="s">
        <v>5</v>
      </c>
      <c r="J60" s="4" t="s">
        <v>23</v>
      </c>
      <c r="L60" s="4" t="s">
        <v>10</v>
      </c>
      <c r="M60" s="4" t="s">
        <v>9</v>
      </c>
      <c r="N60" s="4" t="s">
        <v>28</v>
      </c>
      <c r="O60" s="4" t="s">
        <v>27</v>
      </c>
      <c r="P60" s="4" t="s">
        <v>26</v>
      </c>
      <c r="Q60" s="4" t="s">
        <v>25</v>
      </c>
      <c r="R60" s="4" t="s">
        <v>24</v>
      </c>
      <c r="S60" s="4" t="s">
        <v>5</v>
      </c>
      <c r="T60" s="4" t="s">
        <v>23</v>
      </c>
    </row>
    <row r="61" spans="2:23" ht="45" x14ac:dyDescent="0.2">
      <c r="B61" s="25" t="s">
        <v>1198</v>
      </c>
      <c r="C61" s="23" t="s">
        <v>1191</v>
      </c>
      <c r="D61" s="23" t="s">
        <v>1192</v>
      </c>
      <c r="E61" s="26" t="s">
        <v>16</v>
      </c>
      <c r="F61" s="26" t="s">
        <v>1193</v>
      </c>
      <c r="G61" s="26" t="s">
        <v>1176</v>
      </c>
      <c r="H61" s="26" t="s">
        <v>17</v>
      </c>
      <c r="I61" s="26" t="s">
        <v>142</v>
      </c>
      <c r="J61" s="3" t="s">
        <v>142</v>
      </c>
      <c r="L61" s="3" t="s">
        <v>1790</v>
      </c>
      <c r="M61" s="3" t="s">
        <v>18</v>
      </c>
      <c r="N61" s="3" t="s">
        <v>18</v>
      </c>
      <c r="O61" s="3" t="s">
        <v>20</v>
      </c>
      <c r="P61" s="28" t="s">
        <v>1697</v>
      </c>
      <c r="Q61" s="28" t="s">
        <v>1874</v>
      </c>
      <c r="R61" s="28" t="s">
        <v>141</v>
      </c>
      <c r="S61" s="28" t="s">
        <v>695</v>
      </c>
      <c r="T61" s="28" t="s">
        <v>20</v>
      </c>
    </row>
    <row r="62" spans="2:23" ht="30" x14ac:dyDescent="0.2">
      <c r="B62" s="25" t="s">
        <v>1199</v>
      </c>
      <c r="C62" s="26" t="s">
        <v>16</v>
      </c>
      <c r="D62" s="23" t="s">
        <v>1194</v>
      </c>
      <c r="E62" s="26" t="s">
        <v>16</v>
      </c>
      <c r="F62" s="26" t="s">
        <v>1195</v>
      </c>
      <c r="G62" s="26" t="s">
        <v>1196</v>
      </c>
      <c r="H62" s="26" t="s">
        <v>1197</v>
      </c>
      <c r="I62" s="26" t="s">
        <v>142</v>
      </c>
      <c r="J62" s="3" t="s">
        <v>142</v>
      </c>
      <c r="L62" s="3" t="s">
        <v>1206</v>
      </c>
      <c r="M62" s="3" t="s">
        <v>18</v>
      </c>
      <c r="N62" s="3" t="s">
        <v>18</v>
      </c>
      <c r="O62" s="3" t="s">
        <v>20</v>
      </c>
      <c r="P62" s="28" t="s">
        <v>1697</v>
      </c>
      <c r="Q62" s="28" t="s">
        <v>1874</v>
      </c>
      <c r="R62" s="28" t="s">
        <v>141</v>
      </c>
      <c r="S62" s="28" t="s">
        <v>20</v>
      </c>
      <c r="T62" s="28" t="s">
        <v>20</v>
      </c>
    </row>
    <row r="63" spans="2:23" ht="45" x14ac:dyDescent="0.2">
      <c r="B63" s="25" t="s">
        <v>1200</v>
      </c>
      <c r="C63" s="26" t="s">
        <v>16</v>
      </c>
      <c r="D63" s="26" t="s">
        <v>1171</v>
      </c>
      <c r="E63" s="26" t="s">
        <v>16</v>
      </c>
      <c r="F63" s="26" t="s">
        <v>1868</v>
      </c>
      <c r="G63" s="26" t="s">
        <v>142</v>
      </c>
      <c r="H63" s="26" t="s">
        <v>1872</v>
      </c>
      <c r="I63" s="26" t="s">
        <v>20</v>
      </c>
      <c r="J63" s="3" t="s">
        <v>142</v>
      </c>
      <c r="L63" s="3" t="s">
        <v>1791</v>
      </c>
      <c r="M63" s="3" t="s">
        <v>16</v>
      </c>
      <c r="N63" s="3" t="s">
        <v>440</v>
      </c>
      <c r="O63" s="3" t="s">
        <v>20</v>
      </c>
      <c r="P63" s="28" t="s">
        <v>1697</v>
      </c>
      <c r="Q63" s="28" t="s">
        <v>1874</v>
      </c>
      <c r="R63" s="28" t="s">
        <v>141</v>
      </c>
      <c r="S63" s="28" t="s">
        <v>20</v>
      </c>
      <c r="T63" s="28" t="s">
        <v>20</v>
      </c>
    </row>
    <row r="64" spans="2:23" ht="30" x14ac:dyDescent="0.2">
      <c r="B64" s="25" t="s">
        <v>1201</v>
      </c>
      <c r="C64" s="26" t="s">
        <v>21</v>
      </c>
      <c r="D64" s="26" t="s">
        <v>179</v>
      </c>
      <c r="E64" s="26" t="s">
        <v>16</v>
      </c>
      <c r="F64" s="26" t="s">
        <v>333</v>
      </c>
      <c r="G64" s="26" t="s">
        <v>833</v>
      </c>
      <c r="H64" s="26" t="s">
        <v>18</v>
      </c>
      <c r="I64" s="26" t="s">
        <v>20</v>
      </c>
      <c r="J64" s="3" t="s">
        <v>142</v>
      </c>
      <c r="L64" s="3" t="s">
        <v>1792</v>
      </c>
      <c r="M64" s="3" t="s">
        <v>18</v>
      </c>
      <c r="N64" s="3" t="s">
        <v>18</v>
      </c>
      <c r="O64" s="3" t="s">
        <v>20</v>
      </c>
      <c r="P64" s="28" t="s">
        <v>1697</v>
      </c>
      <c r="Q64" s="28" t="s">
        <v>1874</v>
      </c>
      <c r="R64" s="28" t="s">
        <v>141</v>
      </c>
      <c r="S64" s="28" t="s">
        <v>20</v>
      </c>
      <c r="T64" s="28" t="s">
        <v>20</v>
      </c>
    </row>
    <row r="65" spans="2:20" ht="45" x14ac:dyDescent="0.2">
      <c r="B65" s="25" t="s">
        <v>1202</v>
      </c>
      <c r="C65" s="26" t="s">
        <v>19</v>
      </c>
      <c r="D65" s="26" t="s">
        <v>179</v>
      </c>
      <c r="E65" s="26" t="s">
        <v>16</v>
      </c>
      <c r="F65" s="26" t="s">
        <v>1869</v>
      </c>
      <c r="G65" s="26" t="s">
        <v>350</v>
      </c>
      <c r="H65" s="26" t="s">
        <v>350</v>
      </c>
      <c r="I65" s="26" t="s">
        <v>20</v>
      </c>
      <c r="J65" s="3" t="s">
        <v>142</v>
      </c>
      <c r="L65" s="3" t="s">
        <v>1793</v>
      </c>
      <c r="M65" s="3" t="s">
        <v>21</v>
      </c>
      <c r="N65" s="3" t="s">
        <v>179</v>
      </c>
      <c r="O65" s="3" t="s">
        <v>20</v>
      </c>
      <c r="P65" s="28" t="s">
        <v>140</v>
      </c>
      <c r="Q65" s="28" t="s">
        <v>1874</v>
      </c>
      <c r="R65" s="28" t="s">
        <v>141</v>
      </c>
      <c r="S65" s="28" t="s">
        <v>20</v>
      </c>
      <c r="T65" s="28" t="s">
        <v>20</v>
      </c>
    </row>
    <row r="66" spans="2:20" ht="30" x14ac:dyDescent="0.2">
      <c r="B66" s="25" t="s">
        <v>1203</v>
      </c>
      <c r="C66" s="26" t="s">
        <v>16</v>
      </c>
      <c r="D66" s="26" t="s">
        <v>18</v>
      </c>
      <c r="E66" s="26" t="s">
        <v>20</v>
      </c>
      <c r="F66" s="26" t="s">
        <v>696</v>
      </c>
      <c r="G66" s="26" t="s">
        <v>21</v>
      </c>
      <c r="H66" s="26" t="s">
        <v>1875</v>
      </c>
      <c r="I66" s="26" t="s">
        <v>20</v>
      </c>
      <c r="J66" s="3" t="s">
        <v>142</v>
      </c>
      <c r="L66" s="3" t="s">
        <v>1794</v>
      </c>
      <c r="M66" s="3" t="s">
        <v>16</v>
      </c>
      <c r="N66" s="3" t="s">
        <v>18</v>
      </c>
      <c r="O66" s="3" t="s">
        <v>20</v>
      </c>
      <c r="P66" s="28" t="s">
        <v>140</v>
      </c>
      <c r="Q66" s="28" t="s">
        <v>1874</v>
      </c>
      <c r="R66" s="28" t="s">
        <v>1874</v>
      </c>
      <c r="S66" s="28" t="s">
        <v>695</v>
      </c>
      <c r="T66" s="28" t="s">
        <v>20</v>
      </c>
    </row>
    <row r="67" spans="2:20" ht="45" x14ac:dyDescent="0.2">
      <c r="B67" s="25" t="s">
        <v>1204</v>
      </c>
      <c r="C67" s="26" t="s">
        <v>16</v>
      </c>
      <c r="D67" s="26" t="s">
        <v>179</v>
      </c>
      <c r="E67" s="26" t="s">
        <v>20</v>
      </c>
      <c r="F67" s="26" t="s">
        <v>1869</v>
      </c>
      <c r="G67" s="26" t="s">
        <v>21</v>
      </c>
      <c r="H67" s="26" t="s">
        <v>141</v>
      </c>
      <c r="I67" s="26" t="s">
        <v>20</v>
      </c>
      <c r="J67" s="3" t="s">
        <v>20</v>
      </c>
      <c r="L67" s="3" t="s">
        <v>1795</v>
      </c>
      <c r="M67" s="3" t="s">
        <v>21</v>
      </c>
      <c r="N67" s="3" t="s">
        <v>179</v>
      </c>
      <c r="O67" s="3" t="s">
        <v>20</v>
      </c>
      <c r="P67" s="28" t="s">
        <v>1697</v>
      </c>
      <c r="Q67" s="28" t="s">
        <v>1874</v>
      </c>
      <c r="R67" s="28" t="s">
        <v>141</v>
      </c>
      <c r="S67" s="28" t="s">
        <v>20</v>
      </c>
      <c r="T67" s="28" t="s">
        <v>20</v>
      </c>
    </row>
    <row r="68" spans="2:20" ht="15" x14ac:dyDescent="0.2">
      <c r="B68" s="25" t="s">
        <v>1205</v>
      </c>
      <c r="C68" s="26" t="s">
        <v>18</v>
      </c>
      <c r="D68" s="26" t="s">
        <v>179</v>
      </c>
      <c r="E68" s="26" t="s">
        <v>16</v>
      </c>
      <c r="F68" s="26" t="s">
        <v>1871</v>
      </c>
      <c r="G68" s="26" t="s">
        <v>21</v>
      </c>
      <c r="H68" s="26" t="s">
        <v>141</v>
      </c>
      <c r="I68" s="26" t="s">
        <v>20</v>
      </c>
      <c r="J68" s="3" t="s">
        <v>16</v>
      </c>
      <c r="L68" s="3"/>
      <c r="M68" s="3"/>
      <c r="N68" s="3"/>
      <c r="O68" s="3"/>
      <c r="P68" s="3"/>
      <c r="Q68" s="3"/>
      <c r="R68" s="3"/>
      <c r="S68" s="3"/>
      <c r="T68" s="3"/>
    </row>
    <row r="69" spans="2:20" ht="15" x14ac:dyDescent="0.2">
      <c r="B69" s="25" t="s">
        <v>1206</v>
      </c>
      <c r="C69" s="26" t="s">
        <v>18</v>
      </c>
      <c r="D69" s="26" t="s">
        <v>179</v>
      </c>
      <c r="E69" s="26" t="s">
        <v>20</v>
      </c>
      <c r="F69" s="26" t="s">
        <v>1869</v>
      </c>
      <c r="G69" s="26" t="s">
        <v>21</v>
      </c>
      <c r="H69" s="26" t="s">
        <v>141</v>
      </c>
      <c r="I69" s="26" t="s">
        <v>20</v>
      </c>
      <c r="J69" s="3" t="s">
        <v>16</v>
      </c>
      <c r="L69" s="3"/>
      <c r="M69" s="3"/>
      <c r="N69" s="3"/>
      <c r="O69" s="3"/>
      <c r="P69" s="3"/>
      <c r="Q69" s="3"/>
      <c r="R69" s="3"/>
      <c r="S69" s="3"/>
      <c r="T69" s="3"/>
    </row>
    <row r="70" spans="2:20" ht="15" x14ac:dyDescent="0.2">
      <c r="B70" s="25" t="s">
        <v>1207</v>
      </c>
      <c r="C70" s="26" t="s">
        <v>18</v>
      </c>
      <c r="D70" s="26" t="s">
        <v>18</v>
      </c>
      <c r="E70" s="26" t="s">
        <v>20</v>
      </c>
      <c r="F70" s="26" t="s">
        <v>1869</v>
      </c>
      <c r="G70" s="26" t="s">
        <v>21</v>
      </c>
      <c r="H70" s="26" t="s">
        <v>141</v>
      </c>
      <c r="I70" s="26" t="s">
        <v>20</v>
      </c>
      <c r="J70" s="3" t="s">
        <v>142</v>
      </c>
      <c r="L70" s="3"/>
      <c r="M70" s="3"/>
      <c r="N70" s="3"/>
      <c r="O70" s="3"/>
      <c r="P70" s="3"/>
      <c r="Q70" s="3"/>
      <c r="R70" s="3"/>
      <c r="S70" s="3"/>
      <c r="T70" s="3"/>
    </row>
    <row r="71" spans="2:20" x14ac:dyDescent="0.2">
      <c r="B71" s="10"/>
      <c r="C71" s="10"/>
      <c r="D71" s="10"/>
      <c r="E71" s="10"/>
      <c r="F71" s="10"/>
      <c r="G71" s="10"/>
      <c r="H71" s="10"/>
      <c r="I71" s="10"/>
      <c r="J71" s="10"/>
    </row>
    <row r="73" spans="2:20" ht="12.75" customHeight="1" x14ac:dyDescent="0.2">
      <c r="B73" s="96" t="s">
        <v>30</v>
      </c>
      <c r="C73" s="96"/>
      <c r="D73" s="96"/>
      <c r="E73" s="96"/>
      <c r="F73" s="96"/>
      <c r="G73" s="96"/>
      <c r="H73" s="96"/>
      <c r="I73" s="96"/>
      <c r="J73" s="96"/>
    </row>
    <row r="74" spans="2:20" ht="30" x14ac:dyDescent="0.2">
      <c r="B74" s="4" t="s">
        <v>29</v>
      </c>
      <c r="C74" s="34" t="s">
        <v>1236</v>
      </c>
      <c r="D74" s="34" t="s">
        <v>1237</v>
      </c>
      <c r="E74" s="34" t="s">
        <v>1238</v>
      </c>
      <c r="F74" s="34" t="s">
        <v>1239</v>
      </c>
      <c r="G74" s="34" t="s">
        <v>1240</v>
      </c>
      <c r="H74" s="34" t="s">
        <v>1241</v>
      </c>
      <c r="I74" s="34" t="s">
        <v>1242</v>
      </c>
      <c r="J74" s="4" t="s">
        <v>1243</v>
      </c>
    </row>
    <row r="75" spans="2:20" ht="30" x14ac:dyDescent="0.2">
      <c r="B75" s="25" t="s">
        <v>1208</v>
      </c>
      <c r="C75" s="23" t="s">
        <v>1209</v>
      </c>
      <c r="D75" s="23" t="s">
        <v>1210</v>
      </c>
      <c r="E75" s="26" t="s">
        <v>1211</v>
      </c>
      <c r="F75" s="26" t="s">
        <v>710</v>
      </c>
      <c r="G75" s="23" t="s">
        <v>1212</v>
      </c>
      <c r="H75" s="23" t="s">
        <v>1213</v>
      </c>
      <c r="I75" s="26" t="s">
        <v>21</v>
      </c>
      <c r="J75" s="3" t="s">
        <v>1244</v>
      </c>
    </row>
    <row r="76" spans="2:20" ht="30" x14ac:dyDescent="0.2">
      <c r="B76" s="25" t="s">
        <v>1214</v>
      </c>
      <c r="C76" s="23" t="s">
        <v>1215</v>
      </c>
      <c r="D76" s="23" t="s">
        <v>1216</v>
      </c>
      <c r="E76" s="26" t="s">
        <v>1217</v>
      </c>
      <c r="F76" s="26" t="s">
        <v>710</v>
      </c>
      <c r="G76" s="23" t="s">
        <v>1218</v>
      </c>
      <c r="H76" s="26" t="s">
        <v>1219</v>
      </c>
      <c r="I76" s="23" t="s">
        <v>1220</v>
      </c>
      <c r="J76" s="3" t="s">
        <v>1245</v>
      </c>
    </row>
    <row r="77" spans="2:20" ht="30" x14ac:dyDescent="0.2">
      <c r="B77" s="25" t="s">
        <v>1221</v>
      </c>
      <c r="C77" s="23" t="s">
        <v>1222</v>
      </c>
      <c r="D77" s="23" t="s">
        <v>1223</v>
      </c>
      <c r="E77" s="23" t="s">
        <v>1224</v>
      </c>
      <c r="F77" s="26" t="s">
        <v>1225</v>
      </c>
      <c r="G77" s="23" t="s">
        <v>1226</v>
      </c>
      <c r="H77" s="26" t="s">
        <v>1227</v>
      </c>
      <c r="I77" s="26" t="s">
        <v>17</v>
      </c>
      <c r="J77" s="6" t="s">
        <v>1246</v>
      </c>
    </row>
    <row r="78" spans="2:20" ht="45" x14ac:dyDescent="0.2">
      <c r="B78" s="25" t="s">
        <v>1228</v>
      </c>
      <c r="C78" s="23" t="s">
        <v>1229</v>
      </c>
      <c r="D78" s="23" t="s">
        <v>1230</v>
      </c>
      <c r="E78" s="23" t="s">
        <v>1231</v>
      </c>
      <c r="F78" s="26" t="s">
        <v>1232</v>
      </c>
      <c r="G78" s="23" t="s">
        <v>1233</v>
      </c>
      <c r="H78" s="23" t="s">
        <v>1234</v>
      </c>
      <c r="I78" s="23" t="s">
        <v>1235</v>
      </c>
      <c r="J78" s="6" t="s">
        <v>1247</v>
      </c>
    </row>
    <row r="79" spans="2:20" x14ac:dyDescent="0.2">
      <c r="B79" s="6"/>
      <c r="C79" s="9"/>
      <c r="D79" s="6"/>
      <c r="E79" s="6"/>
      <c r="F79" s="6"/>
      <c r="G79" s="6"/>
      <c r="H79" s="6"/>
      <c r="I79" s="6"/>
      <c r="J79" s="6"/>
    </row>
    <row r="80" spans="2:20" x14ac:dyDescent="0.2">
      <c r="B80" s="6"/>
      <c r="C80" s="8"/>
      <c r="D80" s="6"/>
      <c r="E80" s="6"/>
      <c r="F80" s="6"/>
      <c r="G80" s="6"/>
      <c r="H80" s="6"/>
      <c r="I80" s="6"/>
      <c r="J80" s="6"/>
    </row>
    <row r="81" spans="2:11" x14ac:dyDescent="0.2">
      <c r="B81" s="7"/>
      <c r="C81" s="7"/>
      <c r="D81" s="8"/>
      <c r="E81" s="7"/>
      <c r="F81" s="6"/>
      <c r="G81" s="6"/>
      <c r="H81" s="6"/>
      <c r="I81" s="6"/>
      <c r="J81" s="6"/>
    </row>
    <row r="82" spans="2:11" x14ac:dyDescent="0.2">
      <c r="B82" s="7"/>
      <c r="C82" s="8"/>
      <c r="D82" s="6"/>
      <c r="E82" s="6"/>
      <c r="F82" s="6"/>
      <c r="G82" s="6"/>
      <c r="H82" s="6"/>
      <c r="I82" s="6"/>
      <c r="J82" s="6"/>
    </row>
    <row r="83" spans="2:11" x14ac:dyDescent="0.2">
      <c r="B83" s="7"/>
      <c r="C83" s="7"/>
      <c r="D83" s="6"/>
      <c r="E83" s="6"/>
      <c r="F83" s="6"/>
      <c r="G83" s="6"/>
      <c r="H83" s="6"/>
      <c r="I83" s="6"/>
      <c r="J83" s="6"/>
    </row>
    <row r="85" spans="2:11" ht="12.75" customHeight="1" x14ac:dyDescent="0.2">
      <c r="B85" s="97" t="s">
        <v>15</v>
      </c>
      <c r="C85" s="97"/>
      <c r="D85" s="97"/>
      <c r="E85" s="97"/>
      <c r="F85" s="97"/>
      <c r="G85" s="97"/>
      <c r="H85" s="97"/>
    </row>
    <row r="86" spans="2:11" ht="13.75" customHeight="1" x14ac:dyDescent="0.2">
      <c r="B86" s="5" t="s">
        <v>10</v>
      </c>
      <c r="C86" s="5" t="s">
        <v>9</v>
      </c>
      <c r="D86" s="5" t="s">
        <v>14</v>
      </c>
      <c r="E86" s="5" t="s">
        <v>7</v>
      </c>
      <c r="F86" s="5" t="s">
        <v>13</v>
      </c>
      <c r="G86" s="5" t="s">
        <v>5</v>
      </c>
      <c r="H86" s="5" t="s">
        <v>12</v>
      </c>
      <c r="J86" s="91" t="s">
        <v>11</v>
      </c>
      <c r="K86" s="92"/>
    </row>
    <row r="87" spans="2:11" ht="13.75" customHeight="1" x14ac:dyDescent="0.2">
      <c r="B87" s="4" t="s">
        <v>10</v>
      </c>
      <c r="C87" s="4" t="s">
        <v>9</v>
      </c>
      <c r="D87" s="4" t="s">
        <v>8</v>
      </c>
      <c r="E87" s="4" t="s">
        <v>7</v>
      </c>
      <c r="F87" s="4" t="s">
        <v>6</v>
      </c>
      <c r="G87" s="4" t="s">
        <v>5</v>
      </c>
      <c r="H87" s="4" t="s">
        <v>4</v>
      </c>
      <c r="J87" s="91" t="s">
        <v>3</v>
      </c>
      <c r="K87" s="92"/>
    </row>
    <row r="88" spans="2:11" ht="13.75" customHeight="1" x14ac:dyDescent="0.2">
      <c r="B88" s="25" t="s">
        <v>1248</v>
      </c>
      <c r="C88" s="26">
        <v>4</v>
      </c>
      <c r="D88" s="26">
        <v>5</v>
      </c>
      <c r="E88" s="26">
        <v>5</v>
      </c>
      <c r="F88" s="26">
        <v>3</v>
      </c>
      <c r="G88" s="26">
        <v>4</v>
      </c>
      <c r="H88" s="2"/>
      <c r="J88" s="91" t="s">
        <v>2</v>
      </c>
      <c r="K88" s="92"/>
    </row>
    <row r="89" spans="2:11" ht="13.75" customHeight="1" x14ac:dyDescent="0.2">
      <c r="B89" s="25" t="s">
        <v>1249</v>
      </c>
      <c r="C89" s="26">
        <v>3</v>
      </c>
      <c r="D89" s="26">
        <v>5</v>
      </c>
      <c r="E89" s="26">
        <v>4</v>
      </c>
      <c r="F89" s="26">
        <v>2</v>
      </c>
      <c r="G89" s="26">
        <v>4</v>
      </c>
      <c r="H89" s="2"/>
      <c r="J89" s="91" t="s">
        <v>1</v>
      </c>
      <c r="K89" s="92"/>
    </row>
    <row r="90" spans="2:11" ht="30" x14ac:dyDescent="0.2">
      <c r="B90" s="25" t="s">
        <v>1250</v>
      </c>
      <c r="C90" s="26">
        <v>3</v>
      </c>
      <c r="D90" s="26">
        <v>5</v>
      </c>
      <c r="E90" s="26">
        <v>4</v>
      </c>
      <c r="F90" s="26">
        <v>3</v>
      </c>
      <c r="G90" s="26">
        <v>4</v>
      </c>
      <c r="H90" s="2"/>
      <c r="J90" s="92" t="s">
        <v>0</v>
      </c>
      <c r="K90" s="92"/>
    </row>
    <row r="91" spans="2:11" ht="30" x14ac:dyDescent="0.2">
      <c r="B91" s="25" t="s">
        <v>1251</v>
      </c>
      <c r="C91" s="26">
        <v>3</v>
      </c>
      <c r="D91" s="26">
        <v>5</v>
      </c>
      <c r="E91" s="26">
        <v>4</v>
      </c>
      <c r="F91" s="26">
        <v>4</v>
      </c>
      <c r="G91" s="26">
        <v>4</v>
      </c>
      <c r="H91" s="2"/>
    </row>
    <row r="92" spans="2:11" ht="15" x14ac:dyDescent="0.2">
      <c r="B92" s="25" t="s">
        <v>1201</v>
      </c>
      <c r="C92" s="26">
        <v>2</v>
      </c>
      <c r="D92" s="26">
        <v>4</v>
      </c>
      <c r="E92" s="26">
        <v>3</v>
      </c>
      <c r="F92" s="26">
        <v>3</v>
      </c>
      <c r="G92" s="26">
        <v>3</v>
      </c>
      <c r="H92" s="2"/>
    </row>
    <row r="93" spans="2:11" ht="30" x14ac:dyDescent="0.2">
      <c r="B93" s="25" t="s">
        <v>1202</v>
      </c>
      <c r="C93" s="26">
        <v>1</v>
      </c>
      <c r="D93" s="26">
        <v>5</v>
      </c>
      <c r="E93" s="26">
        <v>2</v>
      </c>
      <c r="F93" s="26">
        <v>2</v>
      </c>
      <c r="G93" s="26">
        <v>3</v>
      </c>
      <c r="H93" s="2"/>
    </row>
    <row r="94" spans="2:11" ht="30" x14ac:dyDescent="0.2">
      <c r="B94" s="25" t="s">
        <v>1200</v>
      </c>
      <c r="C94" s="26">
        <v>5</v>
      </c>
      <c r="D94" s="26">
        <v>4</v>
      </c>
      <c r="E94" s="26">
        <v>5</v>
      </c>
      <c r="F94" s="26">
        <v>3</v>
      </c>
      <c r="G94" s="26">
        <v>3</v>
      </c>
      <c r="H94" s="2"/>
    </row>
    <row r="95" spans="2:11" ht="20.75" customHeight="1" x14ac:dyDescent="0.2">
      <c r="B95" s="25" t="s">
        <v>1203</v>
      </c>
      <c r="C95" s="26">
        <v>5</v>
      </c>
      <c r="D95" s="26">
        <v>3</v>
      </c>
      <c r="E95" s="26">
        <v>4</v>
      </c>
      <c r="F95" s="26">
        <v>3</v>
      </c>
      <c r="G95" s="26">
        <v>3</v>
      </c>
      <c r="H95" s="2"/>
    </row>
    <row r="96" spans="2:11" ht="20.75" customHeight="1" x14ac:dyDescent="0.2">
      <c r="B96" s="25" t="s">
        <v>1199</v>
      </c>
      <c r="C96" s="26">
        <v>4</v>
      </c>
      <c r="D96" s="26">
        <v>1</v>
      </c>
      <c r="E96" s="26">
        <v>1</v>
      </c>
      <c r="F96" s="26">
        <v>5</v>
      </c>
      <c r="G96" s="26">
        <v>1</v>
      </c>
      <c r="H96" s="2"/>
    </row>
    <row r="97" spans="1:14" ht="20.75" customHeight="1" x14ac:dyDescent="0.2">
      <c r="B97" s="25" t="s">
        <v>1198</v>
      </c>
      <c r="C97" s="26">
        <v>5</v>
      </c>
      <c r="D97" s="26">
        <v>1</v>
      </c>
      <c r="E97" s="26">
        <v>1</v>
      </c>
      <c r="F97" s="26">
        <v>5</v>
      </c>
      <c r="G97" s="26">
        <v>1</v>
      </c>
      <c r="H97" s="2"/>
    </row>
    <row r="98" spans="1:14" ht="20.75" customHeight="1" x14ac:dyDescent="0.2"/>
    <row r="99" spans="1:14" ht="29.5" customHeight="1" x14ac:dyDescent="0.2"/>
    <row r="106" spans="1:14" x14ac:dyDescent="0.2">
      <c r="A106" s="90" t="s">
        <v>1616</v>
      </c>
      <c r="B106" s="88"/>
      <c r="C106" s="88"/>
      <c r="D106" s="88"/>
      <c r="E106" s="88"/>
      <c r="F106" s="88"/>
      <c r="G106" s="88"/>
      <c r="H106" s="88"/>
      <c r="I106" s="88"/>
      <c r="J106" s="88"/>
      <c r="K106" s="88"/>
      <c r="L106" s="88"/>
      <c r="M106" s="88"/>
      <c r="N106" s="89"/>
    </row>
    <row r="107" spans="1:14" x14ac:dyDescent="0.2">
      <c r="A107" s="87" t="s">
        <v>1597</v>
      </c>
      <c r="B107" s="88"/>
      <c r="C107" s="88"/>
      <c r="D107" s="88"/>
      <c r="E107" s="88"/>
      <c r="F107" s="88"/>
      <c r="G107" s="88"/>
      <c r="H107" s="88"/>
      <c r="I107" s="88"/>
      <c r="J107" s="88"/>
      <c r="K107" s="88"/>
      <c r="L107" s="88"/>
      <c r="M107" s="88"/>
      <c r="N107" s="89"/>
    </row>
    <row r="108" spans="1:14" x14ac:dyDescent="0.2">
      <c r="A108" s="87" t="s">
        <v>1598</v>
      </c>
      <c r="B108" s="88"/>
      <c r="C108" s="88"/>
      <c r="D108" s="88"/>
      <c r="E108" s="88"/>
      <c r="F108" s="88"/>
      <c r="G108" s="88"/>
      <c r="H108" s="88"/>
      <c r="I108" s="88"/>
      <c r="J108" s="88"/>
      <c r="K108" s="88"/>
      <c r="L108" s="88"/>
      <c r="M108" s="88"/>
      <c r="N108" s="89"/>
    </row>
    <row r="109" spans="1:14" x14ac:dyDescent="0.2">
      <c r="A109" s="87" t="s">
        <v>1599</v>
      </c>
      <c r="B109" s="88"/>
      <c r="C109" s="88"/>
      <c r="D109" s="88"/>
      <c r="E109" s="88"/>
      <c r="F109" s="88"/>
      <c r="G109" s="88"/>
      <c r="H109" s="88"/>
      <c r="I109" s="88"/>
      <c r="J109" s="88"/>
      <c r="K109" s="88"/>
      <c r="L109" s="88"/>
      <c r="M109" s="88"/>
      <c r="N109" s="89"/>
    </row>
    <row r="110" spans="1:14" x14ac:dyDescent="0.2">
      <c r="A110" s="87" t="s">
        <v>1600</v>
      </c>
      <c r="B110" s="88"/>
      <c r="C110" s="88"/>
      <c r="D110" s="88"/>
      <c r="E110" s="88"/>
      <c r="F110" s="88"/>
      <c r="G110" s="88"/>
      <c r="H110" s="88"/>
      <c r="I110" s="88"/>
      <c r="J110" s="88"/>
      <c r="K110" s="88"/>
      <c r="L110" s="88"/>
      <c r="M110" s="88"/>
      <c r="N110" s="89"/>
    </row>
    <row r="111" spans="1:14" x14ac:dyDescent="0.2">
      <c r="A111" s="87" t="s">
        <v>1601</v>
      </c>
      <c r="B111" s="88"/>
      <c r="C111" s="88"/>
      <c r="D111" s="88"/>
      <c r="E111" s="88"/>
      <c r="F111" s="88"/>
      <c r="G111" s="88"/>
      <c r="H111" s="88"/>
      <c r="I111" s="88"/>
      <c r="J111" s="88"/>
      <c r="K111" s="88"/>
      <c r="L111" s="88"/>
      <c r="M111" s="88"/>
      <c r="N111" s="89"/>
    </row>
    <row r="112" spans="1:14" x14ac:dyDescent="0.2">
      <c r="A112" s="87" t="s">
        <v>1602</v>
      </c>
      <c r="B112" s="88"/>
      <c r="C112" s="88"/>
      <c r="D112" s="88"/>
      <c r="E112" s="88"/>
      <c r="F112" s="88"/>
      <c r="G112" s="88"/>
      <c r="H112" s="88"/>
      <c r="I112" s="88"/>
      <c r="J112" s="88"/>
      <c r="K112" s="88"/>
      <c r="L112" s="88"/>
      <c r="M112" s="88"/>
      <c r="N112" s="89"/>
    </row>
    <row r="113" spans="1:14" x14ac:dyDescent="0.2">
      <c r="A113" s="87" t="s">
        <v>1603</v>
      </c>
      <c r="B113" s="88"/>
      <c r="C113" s="88"/>
      <c r="D113" s="88"/>
      <c r="E113" s="88"/>
      <c r="F113" s="88"/>
      <c r="G113" s="88"/>
      <c r="H113" s="88"/>
      <c r="I113" s="88"/>
      <c r="J113" s="88"/>
      <c r="K113" s="88"/>
      <c r="L113" s="88"/>
      <c r="M113" s="88"/>
      <c r="N113" s="89"/>
    </row>
    <row r="114" spans="1:14" x14ac:dyDescent="0.2">
      <c r="A114" s="87" t="s">
        <v>1604</v>
      </c>
      <c r="B114" s="88"/>
      <c r="C114" s="88"/>
      <c r="D114" s="88"/>
      <c r="E114" s="88"/>
      <c r="F114" s="88"/>
      <c r="G114" s="88"/>
      <c r="H114" s="88"/>
      <c r="I114" s="88"/>
      <c r="J114" s="88"/>
      <c r="K114" s="88"/>
      <c r="L114" s="88"/>
      <c r="M114" s="88"/>
      <c r="N114" s="89"/>
    </row>
  </sheetData>
  <mergeCells count="51">
    <mergeCell ref="B1:E1"/>
    <mergeCell ref="C2:E2"/>
    <mergeCell ref="C3:E3"/>
    <mergeCell ref="C4:E4"/>
    <mergeCell ref="C5:E5"/>
    <mergeCell ref="C15:E15"/>
    <mergeCell ref="C16:E16"/>
    <mergeCell ref="C17:E17"/>
    <mergeCell ref="B19:E19"/>
    <mergeCell ref="C6:E6"/>
    <mergeCell ref="C7:E7"/>
    <mergeCell ref="B10:E10"/>
    <mergeCell ref="G10:I10"/>
    <mergeCell ref="C11:E11"/>
    <mergeCell ref="C12:E12"/>
    <mergeCell ref="C14:E14"/>
    <mergeCell ref="C13:E13"/>
    <mergeCell ref="B33:E33"/>
    <mergeCell ref="G33:J33"/>
    <mergeCell ref="C34:E34"/>
    <mergeCell ref="H34:J34"/>
    <mergeCell ref="L59:T59"/>
    <mergeCell ref="C35:E35"/>
    <mergeCell ref="H35:J35"/>
    <mergeCell ref="C36:E36"/>
    <mergeCell ref="H36:J36"/>
    <mergeCell ref="C37:E37"/>
    <mergeCell ref="H37:J37"/>
    <mergeCell ref="C38:E38"/>
    <mergeCell ref="C39:E39"/>
    <mergeCell ref="H38:J38"/>
    <mergeCell ref="H39:J39"/>
    <mergeCell ref="J87:K87"/>
    <mergeCell ref="J88:K88"/>
    <mergeCell ref="J89:K89"/>
    <mergeCell ref="J90:K90"/>
    <mergeCell ref="H40:J40"/>
    <mergeCell ref="B59:J59"/>
    <mergeCell ref="B73:J73"/>
    <mergeCell ref="B85:H85"/>
    <mergeCell ref="J86:K86"/>
    <mergeCell ref="C40:E40"/>
    <mergeCell ref="A111:N111"/>
    <mergeCell ref="A112:N112"/>
    <mergeCell ref="A113:N113"/>
    <mergeCell ref="A114:N114"/>
    <mergeCell ref="A106:N106"/>
    <mergeCell ref="A107:N107"/>
    <mergeCell ref="A108:N108"/>
    <mergeCell ref="A109:N109"/>
    <mergeCell ref="A110:N110"/>
  </mergeCells>
  <pageMargins left="0.7" right="0.7" top="0.75" bottom="0.75" header="0.3" footer="0.3"/>
  <pageSetup paperSize="9"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C419-8613-4759-940A-71AEFD24360F}">
  <dimension ref="A1:T108"/>
  <sheetViews>
    <sheetView topLeftCell="A89" zoomScale="116" workbookViewId="0">
      <selection activeCell="H110" sqref="H110"/>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1252</v>
      </c>
      <c r="D2" s="101"/>
      <c r="E2" s="101"/>
    </row>
    <row r="3" spans="2:9" ht="12.75" customHeight="1" x14ac:dyDescent="0.2">
      <c r="B3" s="13" t="s">
        <v>69</v>
      </c>
      <c r="C3" s="101" t="s">
        <v>1253</v>
      </c>
      <c r="D3" s="101"/>
      <c r="E3" s="101"/>
    </row>
    <row r="4" spans="2:9" ht="12.75" customHeight="1" x14ac:dyDescent="0.2">
      <c r="B4" s="13" t="s">
        <v>68</v>
      </c>
      <c r="C4" s="101" t="s">
        <v>1254</v>
      </c>
      <c r="D4" s="101"/>
      <c r="E4" s="101"/>
    </row>
    <row r="5" spans="2:9" ht="12.75" customHeight="1" x14ac:dyDescent="0.2">
      <c r="B5" s="13" t="s">
        <v>67</v>
      </c>
      <c r="C5" s="101" t="s">
        <v>1255</v>
      </c>
      <c r="D5" s="101"/>
      <c r="E5" s="101"/>
    </row>
    <row r="6" spans="2:9" ht="12.75" customHeight="1" x14ac:dyDescent="0.2">
      <c r="B6" s="13" t="s">
        <v>66</v>
      </c>
      <c r="C6" s="101" t="s">
        <v>1256</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40" t="s">
        <v>1257</v>
      </c>
      <c r="C11" s="143" t="s">
        <v>1906</v>
      </c>
      <c r="D11" s="143"/>
      <c r="E11" s="143"/>
      <c r="G11" s="4" t="s">
        <v>62</v>
      </c>
      <c r="H11" s="4" t="s">
        <v>61</v>
      </c>
      <c r="I11" s="4" t="s">
        <v>60</v>
      </c>
    </row>
    <row r="12" spans="2:9" ht="45" customHeight="1" x14ac:dyDescent="0.2">
      <c r="B12" s="40" t="s">
        <v>1258</v>
      </c>
      <c r="C12" s="143" t="s">
        <v>1263</v>
      </c>
      <c r="D12" s="143"/>
      <c r="E12" s="143"/>
      <c r="G12" s="19">
        <v>1</v>
      </c>
      <c r="H12" s="23" t="s">
        <v>1269</v>
      </c>
      <c r="I12" s="19" t="s">
        <v>1276</v>
      </c>
    </row>
    <row r="13" spans="2:9" ht="62.25" customHeight="1" x14ac:dyDescent="0.2">
      <c r="B13" s="40" t="s">
        <v>1259</v>
      </c>
      <c r="C13" s="143" t="s">
        <v>1264</v>
      </c>
      <c r="D13" s="143"/>
      <c r="E13" s="143"/>
      <c r="G13" s="19">
        <v>2</v>
      </c>
      <c r="H13" s="23" t="s">
        <v>1270</v>
      </c>
      <c r="I13" s="19" t="s">
        <v>1277</v>
      </c>
    </row>
    <row r="14" spans="2:9" ht="54.75" customHeight="1" x14ac:dyDescent="0.2">
      <c r="B14" s="40" t="s">
        <v>1260</v>
      </c>
      <c r="C14" s="143" t="s">
        <v>1265</v>
      </c>
      <c r="D14" s="143"/>
      <c r="E14" s="143"/>
      <c r="G14" s="19">
        <v>3</v>
      </c>
      <c r="H14" s="23" t="s">
        <v>1271</v>
      </c>
      <c r="I14" s="19" t="s">
        <v>1278</v>
      </c>
    </row>
    <row r="15" spans="2:9" ht="54.75" customHeight="1" x14ac:dyDescent="0.2">
      <c r="B15" s="40" t="s">
        <v>1907</v>
      </c>
      <c r="C15" s="143" t="s">
        <v>1266</v>
      </c>
      <c r="D15" s="143"/>
      <c r="E15" s="143"/>
      <c r="G15" s="19">
        <v>4</v>
      </c>
      <c r="H15" s="23" t="s">
        <v>1272</v>
      </c>
      <c r="I15" s="19" t="s">
        <v>1279</v>
      </c>
    </row>
    <row r="16" spans="2:9" ht="54.75" customHeight="1" x14ac:dyDescent="0.2">
      <c r="B16" s="40" t="s">
        <v>1261</v>
      </c>
      <c r="C16" s="143" t="s">
        <v>1267</v>
      </c>
      <c r="D16" s="143"/>
      <c r="E16" s="143"/>
      <c r="G16" s="19">
        <v>5</v>
      </c>
      <c r="H16" s="23" t="s">
        <v>1273</v>
      </c>
      <c r="I16" s="19" t="s">
        <v>1280</v>
      </c>
    </row>
    <row r="17" spans="2:9" ht="54.75" customHeight="1" x14ac:dyDescent="0.2">
      <c r="B17" s="40" t="s">
        <v>1262</v>
      </c>
      <c r="C17" s="143" t="s">
        <v>1268</v>
      </c>
      <c r="D17" s="143"/>
      <c r="E17" s="143"/>
      <c r="G17" s="19">
        <v>6</v>
      </c>
      <c r="H17" s="23" t="s">
        <v>1274</v>
      </c>
      <c r="I17" s="19" t="s">
        <v>1281</v>
      </c>
    </row>
    <row r="18" spans="2:9" ht="54.75" customHeight="1" x14ac:dyDescent="0.2">
      <c r="B18" s="12"/>
      <c r="C18" s="21"/>
      <c r="D18" s="21"/>
      <c r="E18" s="21"/>
      <c r="G18" s="19">
        <v>7</v>
      </c>
      <c r="H18" s="23" t="s">
        <v>1275</v>
      </c>
      <c r="I18" s="19" t="s">
        <v>1282</v>
      </c>
    </row>
    <row r="19" spans="2:9" x14ac:dyDescent="0.2">
      <c r="G19" s="19">
        <v>8</v>
      </c>
      <c r="H19" s="19"/>
      <c r="I19" s="19"/>
    </row>
    <row r="20" spans="2:9" ht="12.75" customHeight="1" x14ac:dyDescent="0.2">
      <c r="B20" s="144" t="s">
        <v>58</v>
      </c>
      <c r="C20" s="145"/>
      <c r="D20" s="145"/>
      <c r="E20" s="145"/>
      <c r="G20" s="19">
        <v>9</v>
      </c>
      <c r="H20" s="19"/>
      <c r="I20" s="19"/>
    </row>
    <row r="21" spans="2:9" ht="15" x14ac:dyDescent="0.2">
      <c r="B21" s="4" t="s">
        <v>57</v>
      </c>
      <c r="C21" s="4" t="s">
        <v>56</v>
      </c>
      <c r="D21" s="4" t="s">
        <v>57</v>
      </c>
      <c r="E21" s="4" t="s">
        <v>56</v>
      </c>
      <c r="G21" s="19">
        <v>10</v>
      </c>
      <c r="H21" s="19"/>
      <c r="I21" s="19"/>
    </row>
    <row r="22" spans="2:9" ht="30" x14ac:dyDescent="0.2">
      <c r="B22" s="3" t="s">
        <v>9</v>
      </c>
      <c r="C22" s="23" t="s">
        <v>1283</v>
      </c>
      <c r="D22" s="25" t="s">
        <v>1292</v>
      </c>
      <c r="E22" s="23" t="s">
        <v>1300</v>
      </c>
      <c r="G22" s="19"/>
      <c r="H22" s="19"/>
      <c r="I22" s="19"/>
    </row>
    <row r="23" spans="2:9" ht="30" x14ac:dyDescent="0.2">
      <c r="B23" s="3" t="s">
        <v>28</v>
      </c>
      <c r="C23" s="23" t="s">
        <v>1284</v>
      </c>
      <c r="D23" s="25" t="s">
        <v>1293</v>
      </c>
      <c r="E23" s="23" t="s">
        <v>1301</v>
      </c>
      <c r="G23" s="19"/>
      <c r="H23" s="19"/>
      <c r="I23" s="19"/>
    </row>
    <row r="24" spans="2:9" ht="30" x14ac:dyDescent="0.2">
      <c r="B24" s="3" t="s">
        <v>27</v>
      </c>
      <c r="C24" s="23" t="s">
        <v>1285</v>
      </c>
      <c r="D24" s="25" t="s">
        <v>1294</v>
      </c>
      <c r="E24" s="23" t="s">
        <v>1302</v>
      </c>
      <c r="G24" s="18"/>
      <c r="H24" s="6"/>
      <c r="I24" s="6"/>
    </row>
    <row r="25" spans="2:9" ht="45" x14ac:dyDescent="0.2">
      <c r="B25" s="3" t="s">
        <v>55</v>
      </c>
      <c r="C25" s="23" t="s">
        <v>1286</v>
      </c>
      <c r="D25" s="25" t="s">
        <v>1295</v>
      </c>
      <c r="E25" s="26" t="s">
        <v>1303</v>
      </c>
      <c r="G25" s="18"/>
      <c r="H25" s="6"/>
      <c r="I25" s="6"/>
    </row>
    <row r="26" spans="2:9" ht="30" x14ac:dyDescent="0.2">
      <c r="B26" s="3" t="s">
        <v>24</v>
      </c>
      <c r="C26" s="23" t="s">
        <v>1287</v>
      </c>
      <c r="D26" s="25" t="s">
        <v>1296</v>
      </c>
      <c r="E26" s="23" t="s">
        <v>1304</v>
      </c>
      <c r="G26" s="18"/>
      <c r="H26" s="6"/>
      <c r="I26" s="6"/>
    </row>
    <row r="27" spans="2:9" ht="30" x14ac:dyDescent="0.2">
      <c r="B27" s="3" t="s">
        <v>26</v>
      </c>
      <c r="C27" s="23" t="s">
        <v>1288</v>
      </c>
      <c r="D27" s="25" t="s">
        <v>1297</v>
      </c>
      <c r="E27" s="23" t="s">
        <v>1305</v>
      </c>
      <c r="G27" s="6"/>
      <c r="H27" s="6"/>
      <c r="I27" s="6"/>
    </row>
    <row r="28" spans="2:9" ht="90" x14ac:dyDescent="0.2">
      <c r="B28" s="3" t="s">
        <v>25</v>
      </c>
      <c r="C28" s="23" t="s">
        <v>1289</v>
      </c>
      <c r="D28" s="25" t="s">
        <v>1298</v>
      </c>
      <c r="E28" s="86" t="s">
        <v>1909</v>
      </c>
      <c r="G28" s="6"/>
      <c r="H28" s="6"/>
      <c r="I28" s="6"/>
    </row>
    <row r="29" spans="2:9" ht="75" x14ac:dyDescent="0.2">
      <c r="B29" s="3" t="s">
        <v>5</v>
      </c>
      <c r="C29" s="23" t="s">
        <v>1290</v>
      </c>
      <c r="D29" s="25" t="s">
        <v>1299</v>
      </c>
      <c r="E29" s="86" t="s">
        <v>1910</v>
      </c>
      <c r="G29" s="6"/>
      <c r="H29" s="6"/>
      <c r="I29" s="6"/>
    </row>
    <row r="30" spans="2:9" ht="30" x14ac:dyDescent="0.2">
      <c r="B30" s="3" t="s">
        <v>23</v>
      </c>
      <c r="C30" s="23" t="s">
        <v>1291</v>
      </c>
      <c r="D30" s="6"/>
      <c r="E30" s="6"/>
      <c r="G30" s="6"/>
      <c r="H30" s="6"/>
      <c r="I30" s="6"/>
    </row>
    <row r="32" spans="2:9" ht="17" x14ac:dyDescent="0.2">
      <c r="B32" s="16" t="s">
        <v>54</v>
      </c>
      <c r="G32" s="16" t="s">
        <v>53</v>
      </c>
    </row>
    <row r="34" spans="2:20" ht="12.75" customHeight="1" x14ac:dyDescent="0.2">
      <c r="B34" s="98" t="s">
        <v>52</v>
      </c>
      <c r="C34" s="98"/>
      <c r="D34" s="98"/>
      <c r="E34" s="98"/>
      <c r="G34" s="98" t="s">
        <v>51</v>
      </c>
      <c r="H34" s="98"/>
      <c r="I34" s="98"/>
      <c r="J34" s="98"/>
    </row>
    <row r="35" spans="2:20" ht="60" customHeight="1" x14ac:dyDescent="0.2">
      <c r="B35" s="6" t="s">
        <v>50</v>
      </c>
      <c r="C35" s="99" t="s">
        <v>1306</v>
      </c>
      <c r="D35" s="99"/>
      <c r="E35" s="99"/>
      <c r="G35" s="6" t="s">
        <v>49</v>
      </c>
      <c r="H35" s="99" t="s">
        <v>1309</v>
      </c>
      <c r="I35" s="99"/>
      <c r="J35" s="99"/>
    </row>
    <row r="36" spans="2:20" ht="65.5" customHeight="1" x14ac:dyDescent="0.2">
      <c r="B36" s="6" t="s">
        <v>48</v>
      </c>
      <c r="C36" s="99" t="s">
        <v>1307</v>
      </c>
      <c r="D36" s="99"/>
      <c r="E36" s="99"/>
      <c r="G36" s="6" t="s">
        <v>47</v>
      </c>
      <c r="H36" s="99"/>
      <c r="I36" s="99"/>
      <c r="J36" s="99"/>
    </row>
    <row r="37" spans="2:20" ht="53.5" customHeight="1" x14ac:dyDescent="0.2">
      <c r="B37" s="6" t="s">
        <v>46</v>
      </c>
      <c r="C37" s="100" t="s">
        <v>1908</v>
      </c>
      <c r="D37" s="100"/>
      <c r="E37" s="100"/>
      <c r="G37" s="6" t="s">
        <v>45</v>
      </c>
      <c r="H37" s="100"/>
      <c r="I37" s="100"/>
      <c r="J37" s="100"/>
    </row>
    <row r="38" spans="2:20" ht="67" customHeight="1" x14ac:dyDescent="0.2">
      <c r="B38" s="6" t="s">
        <v>44</v>
      </c>
      <c r="C38" s="101" t="s">
        <v>1308</v>
      </c>
      <c r="D38" s="101"/>
      <c r="E38" s="101"/>
      <c r="G38" s="6" t="s">
        <v>43</v>
      </c>
      <c r="H38" s="101"/>
      <c r="I38" s="101"/>
      <c r="J38" s="101"/>
    </row>
    <row r="39" spans="2:20" ht="67" customHeight="1" x14ac:dyDescent="0.2">
      <c r="C39" s="17"/>
      <c r="D39" s="17"/>
      <c r="E39" s="17"/>
      <c r="G39" s="6" t="s">
        <v>42</v>
      </c>
      <c r="H39" s="93"/>
      <c r="I39" s="94"/>
      <c r="J39" s="95"/>
    </row>
    <row r="41" spans="2:20" ht="68" x14ac:dyDescent="0.2">
      <c r="B41" s="16" t="s">
        <v>41</v>
      </c>
      <c r="M41" s="16" t="s">
        <v>40</v>
      </c>
      <c r="N41" s="1"/>
      <c r="O41" s="1"/>
      <c r="P41" s="1"/>
      <c r="Q41" s="1"/>
      <c r="R41" s="1"/>
      <c r="S41" s="1"/>
      <c r="T41" s="1"/>
    </row>
    <row r="42" spans="2:20" x14ac:dyDescent="0.2">
      <c r="M42" s="1"/>
      <c r="N42" s="1"/>
      <c r="O42" s="1"/>
      <c r="P42" s="1"/>
      <c r="Q42" s="1"/>
      <c r="R42" s="1"/>
      <c r="S42" s="1"/>
      <c r="T42" s="1"/>
    </row>
    <row r="43" spans="2:20" ht="30" x14ac:dyDescent="0.2">
      <c r="B43" s="15" t="s">
        <v>39</v>
      </c>
      <c r="C43" s="15" t="s">
        <v>38</v>
      </c>
      <c r="D43" s="15">
        <v>2</v>
      </c>
      <c r="E43" s="15">
        <v>3</v>
      </c>
      <c r="F43" s="15">
        <v>4</v>
      </c>
      <c r="G43" s="15">
        <v>5</v>
      </c>
      <c r="H43" s="15">
        <v>6</v>
      </c>
      <c r="I43" s="15">
        <v>7</v>
      </c>
      <c r="J43" s="15">
        <v>8</v>
      </c>
      <c r="M43" s="15" t="s">
        <v>39</v>
      </c>
      <c r="N43" s="15" t="s">
        <v>38</v>
      </c>
      <c r="O43" s="15">
        <v>2</v>
      </c>
      <c r="P43" s="15">
        <v>3</v>
      </c>
      <c r="Q43" s="15">
        <v>4</v>
      </c>
      <c r="R43" s="15">
        <v>5</v>
      </c>
      <c r="S43" s="15">
        <v>6</v>
      </c>
      <c r="T43" s="15">
        <v>7</v>
      </c>
    </row>
    <row r="44" spans="2:20" ht="123" customHeight="1" x14ac:dyDescent="0.2">
      <c r="B44" s="5" t="s">
        <v>37</v>
      </c>
      <c r="C44" s="5" t="s">
        <v>1310</v>
      </c>
      <c r="D44" s="5" t="s">
        <v>1311</v>
      </c>
      <c r="E44" s="5" t="s">
        <v>1312</v>
      </c>
      <c r="F44" s="5" t="s">
        <v>1313</v>
      </c>
      <c r="G44" s="5" t="s">
        <v>1314</v>
      </c>
      <c r="H44" s="5" t="s">
        <v>1315</v>
      </c>
      <c r="I44" s="5" t="s">
        <v>1316</v>
      </c>
      <c r="J44" s="5" t="s">
        <v>1317</v>
      </c>
      <c r="M44" s="5" t="s">
        <v>37</v>
      </c>
      <c r="N44" s="85" t="s">
        <v>1796</v>
      </c>
      <c r="O44" s="85" t="s">
        <v>1797</v>
      </c>
      <c r="P44" s="84" t="s">
        <v>1798</v>
      </c>
      <c r="Q44" s="85" t="s">
        <v>1799</v>
      </c>
      <c r="R44" s="85" t="s">
        <v>1800</v>
      </c>
      <c r="S44" s="85" t="s">
        <v>1801</v>
      </c>
      <c r="T44" s="85" t="s">
        <v>1802</v>
      </c>
    </row>
    <row r="45" spans="2:20" ht="210" x14ac:dyDescent="0.2">
      <c r="B45" s="13" t="s">
        <v>36</v>
      </c>
      <c r="C45" s="23" t="s">
        <v>1318</v>
      </c>
      <c r="D45" s="23" t="s">
        <v>1319</v>
      </c>
      <c r="E45" s="23" t="s">
        <v>1320</v>
      </c>
      <c r="F45" s="23" t="s">
        <v>1321</v>
      </c>
      <c r="G45" s="23" t="s">
        <v>1322</v>
      </c>
      <c r="H45" s="23" t="s">
        <v>1323</v>
      </c>
      <c r="I45" s="23" t="s">
        <v>1324</v>
      </c>
      <c r="J45" s="23" t="s">
        <v>1325</v>
      </c>
      <c r="M45" s="13" t="s">
        <v>36</v>
      </c>
      <c r="N45" s="6" t="s">
        <v>1803</v>
      </c>
      <c r="O45" s="6" t="s">
        <v>1804</v>
      </c>
      <c r="P45" s="6" t="s">
        <v>1805</v>
      </c>
      <c r="Q45" s="6" t="s">
        <v>1806</v>
      </c>
      <c r="R45" s="6" t="s">
        <v>1807</v>
      </c>
      <c r="S45" s="6" t="s">
        <v>1808</v>
      </c>
      <c r="T45" s="6" t="s">
        <v>1809</v>
      </c>
    </row>
    <row r="46" spans="2:20" ht="30" x14ac:dyDescent="0.2">
      <c r="B46" s="13" t="s">
        <v>9</v>
      </c>
      <c r="C46" s="26" t="s">
        <v>1326</v>
      </c>
      <c r="D46" s="26" t="s">
        <v>17</v>
      </c>
      <c r="E46" s="23" t="s">
        <v>1327</v>
      </c>
      <c r="F46" s="26" t="s">
        <v>18</v>
      </c>
      <c r="G46" s="23" t="s">
        <v>1328</v>
      </c>
      <c r="H46" s="23" t="s">
        <v>1329</v>
      </c>
      <c r="I46" s="26" t="s">
        <v>154</v>
      </c>
      <c r="J46" s="23" t="s">
        <v>649</v>
      </c>
      <c r="M46" s="13" t="s">
        <v>9</v>
      </c>
      <c r="N46" s="6" t="s">
        <v>21</v>
      </c>
      <c r="O46" s="7" t="s">
        <v>18</v>
      </c>
      <c r="P46" s="6" t="s">
        <v>16</v>
      </c>
      <c r="Q46" s="6" t="s">
        <v>18</v>
      </c>
      <c r="R46" s="6" t="s">
        <v>18</v>
      </c>
      <c r="S46" s="6" t="s">
        <v>315</v>
      </c>
      <c r="T46" s="7" t="s">
        <v>21</v>
      </c>
    </row>
    <row r="47" spans="2:20" ht="15" x14ac:dyDescent="0.2">
      <c r="B47" s="13" t="s">
        <v>28</v>
      </c>
      <c r="C47" s="26" t="s">
        <v>1330</v>
      </c>
      <c r="D47" s="26" t="s">
        <v>1330</v>
      </c>
      <c r="E47" s="26" t="s">
        <v>1330</v>
      </c>
      <c r="F47" s="26" t="s">
        <v>1331</v>
      </c>
      <c r="G47" s="26" t="s">
        <v>1332</v>
      </c>
      <c r="H47" s="26" t="s">
        <v>1333</v>
      </c>
      <c r="I47" s="26" t="s">
        <v>179</v>
      </c>
      <c r="J47" s="26" t="s">
        <v>179</v>
      </c>
      <c r="M47" s="13" t="s">
        <v>28</v>
      </c>
      <c r="N47" s="6" t="s">
        <v>179</v>
      </c>
      <c r="O47" s="8" t="s">
        <v>18</v>
      </c>
      <c r="P47" s="6" t="s">
        <v>18</v>
      </c>
      <c r="Q47" s="6" t="s">
        <v>440</v>
      </c>
      <c r="R47" s="7" t="s">
        <v>18</v>
      </c>
      <c r="S47" s="6" t="s">
        <v>18</v>
      </c>
      <c r="T47" s="6" t="s">
        <v>179</v>
      </c>
    </row>
    <row r="48" spans="2:20" ht="15" x14ac:dyDescent="0.2">
      <c r="B48" s="13" t="s">
        <v>35</v>
      </c>
      <c r="C48" s="26" t="s">
        <v>16</v>
      </c>
      <c r="D48" s="26" t="s">
        <v>16</v>
      </c>
      <c r="E48" s="26" t="s">
        <v>20</v>
      </c>
      <c r="F48" s="26" t="s">
        <v>20</v>
      </c>
      <c r="G48" s="26" t="s">
        <v>189</v>
      </c>
      <c r="H48" s="26" t="s">
        <v>16</v>
      </c>
      <c r="I48" s="26" t="s">
        <v>20</v>
      </c>
      <c r="J48" s="26" t="s">
        <v>20</v>
      </c>
      <c r="M48" s="13" t="s">
        <v>35</v>
      </c>
      <c r="N48" s="7" t="s">
        <v>20</v>
      </c>
      <c r="O48" s="6" t="s">
        <v>20</v>
      </c>
      <c r="P48" s="6" t="s">
        <v>20</v>
      </c>
      <c r="Q48" s="6" t="s">
        <v>16</v>
      </c>
      <c r="R48" s="6" t="s">
        <v>20</v>
      </c>
      <c r="S48" s="6" t="s">
        <v>20</v>
      </c>
      <c r="T48" s="6" t="s">
        <v>20</v>
      </c>
    </row>
    <row r="49" spans="2:20" ht="30" x14ac:dyDescent="0.2">
      <c r="B49" s="13" t="s">
        <v>26</v>
      </c>
      <c r="C49" s="23" t="s">
        <v>847</v>
      </c>
      <c r="D49" s="26" t="s">
        <v>140</v>
      </c>
      <c r="E49" s="26" t="s">
        <v>140</v>
      </c>
      <c r="F49" s="26" t="s">
        <v>1513</v>
      </c>
      <c r="G49" s="26" t="s">
        <v>140</v>
      </c>
      <c r="H49" s="23" t="s">
        <v>1514</v>
      </c>
      <c r="I49" s="26" t="s">
        <v>696</v>
      </c>
      <c r="J49" s="26" t="s">
        <v>696</v>
      </c>
      <c r="M49" s="13" t="s">
        <v>26</v>
      </c>
      <c r="N49" s="7" t="s">
        <v>1631</v>
      </c>
      <c r="O49" s="6" t="s">
        <v>140</v>
      </c>
      <c r="P49" s="6" t="s">
        <v>1631</v>
      </c>
      <c r="Q49" s="6" t="s">
        <v>140</v>
      </c>
      <c r="R49" s="6" t="s">
        <v>1631</v>
      </c>
      <c r="S49" s="7" t="s">
        <v>140</v>
      </c>
      <c r="T49" s="6" t="s">
        <v>140</v>
      </c>
    </row>
    <row r="50" spans="2:20" ht="15" x14ac:dyDescent="0.2">
      <c r="B50" s="13" t="s">
        <v>25</v>
      </c>
      <c r="C50" s="26" t="s">
        <v>1334</v>
      </c>
      <c r="D50" s="26" t="s">
        <v>1334</v>
      </c>
      <c r="E50" s="26" t="s">
        <v>21</v>
      </c>
      <c r="F50" s="26" t="s">
        <v>21</v>
      </c>
      <c r="G50" s="26" t="s">
        <v>21</v>
      </c>
      <c r="H50" s="26" t="s">
        <v>21</v>
      </c>
      <c r="I50" s="26" t="s">
        <v>21</v>
      </c>
      <c r="J50" s="26" t="s">
        <v>21</v>
      </c>
      <c r="M50" s="13" t="s">
        <v>25</v>
      </c>
      <c r="N50" s="7" t="s">
        <v>21</v>
      </c>
      <c r="O50" s="6" t="s">
        <v>21</v>
      </c>
      <c r="P50" s="6" t="s">
        <v>21</v>
      </c>
      <c r="Q50" s="6" t="s">
        <v>154</v>
      </c>
      <c r="R50" s="7" t="s">
        <v>21</v>
      </c>
      <c r="S50" s="6" t="s">
        <v>21</v>
      </c>
      <c r="T50" s="6" t="s">
        <v>21</v>
      </c>
    </row>
    <row r="51" spans="2:20" ht="30" x14ac:dyDescent="0.2">
      <c r="B51" s="13" t="s">
        <v>34</v>
      </c>
      <c r="C51" s="23" t="s">
        <v>1335</v>
      </c>
      <c r="D51" s="26" t="s">
        <v>21</v>
      </c>
      <c r="E51" s="26" t="s">
        <v>141</v>
      </c>
      <c r="F51" s="26" t="s">
        <v>141</v>
      </c>
      <c r="G51" s="26" t="s">
        <v>1336</v>
      </c>
      <c r="H51" s="26" t="s">
        <v>141</v>
      </c>
      <c r="I51" s="26" t="s">
        <v>141</v>
      </c>
      <c r="J51" s="26" t="s">
        <v>141</v>
      </c>
      <c r="M51" s="13" t="s">
        <v>34</v>
      </c>
      <c r="N51" s="7" t="s">
        <v>141</v>
      </c>
      <c r="O51" s="6" t="s">
        <v>141</v>
      </c>
      <c r="P51" s="6" t="s">
        <v>141</v>
      </c>
      <c r="Q51" s="6" t="s">
        <v>141</v>
      </c>
      <c r="R51" s="7" t="s">
        <v>141</v>
      </c>
      <c r="S51" s="7" t="s">
        <v>141</v>
      </c>
      <c r="T51" s="6" t="s">
        <v>141</v>
      </c>
    </row>
    <row r="52" spans="2:20" ht="15" x14ac:dyDescent="0.2">
      <c r="B52" s="13" t="s">
        <v>5</v>
      </c>
      <c r="C52" s="26" t="s">
        <v>20</v>
      </c>
      <c r="D52" s="26" t="s">
        <v>20</v>
      </c>
      <c r="E52" s="26" t="s">
        <v>20</v>
      </c>
      <c r="F52" s="26" t="s">
        <v>20</v>
      </c>
      <c r="G52" s="26" t="s">
        <v>20</v>
      </c>
      <c r="H52" s="26" t="s">
        <v>20</v>
      </c>
      <c r="I52" s="26" t="s">
        <v>20</v>
      </c>
      <c r="J52" s="26" t="s">
        <v>20</v>
      </c>
      <c r="M52" s="13" t="s">
        <v>5</v>
      </c>
      <c r="N52" s="7" t="s">
        <v>20</v>
      </c>
      <c r="O52" s="6" t="s">
        <v>20</v>
      </c>
      <c r="P52" s="6" t="s">
        <v>20</v>
      </c>
      <c r="Q52" s="6" t="s">
        <v>20</v>
      </c>
      <c r="R52" s="6" t="s">
        <v>20</v>
      </c>
      <c r="S52" s="6" t="s">
        <v>20</v>
      </c>
      <c r="T52" s="6" t="s">
        <v>20</v>
      </c>
    </row>
    <row r="53" spans="2:20" ht="30" x14ac:dyDescent="0.2">
      <c r="B53" s="13" t="s">
        <v>23</v>
      </c>
      <c r="C53" s="26" t="s">
        <v>142</v>
      </c>
      <c r="D53" s="26" t="s">
        <v>142</v>
      </c>
      <c r="E53" s="26" t="s">
        <v>142</v>
      </c>
      <c r="F53" s="26" t="s">
        <v>142</v>
      </c>
      <c r="G53" s="26" t="s">
        <v>142</v>
      </c>
      <c r="H53" s="26" t="s">
        <v>142</v>
      </c>
      <c r="I53" s="26" t="s">
        <v>142</v>
      </c>
      <c r="J53" s="26" t="s">
        <v>142</v>
      </c>
      <c r="M53" s="13" t="s">
        <v>23</v>
      </c>
      <c r="N53" s="7" t="s">
        <v>20</v>
      </c>
      <c r="O53" s="6" t="s">
        <v>20</v>
      </c>
      <c r="P53" s="6" t="s">
        <v>20</v>
      </c>
      <c r="Q53" s="6" t="s">
        <v>20</v>
      </c>
      <c r="R53" s="7" t="s">
        <v>20</v>
      </c>
      <c r="S53" s="6" t="s">
        <v>20</v>
      </c>
      <c r="T53" s="7" t="s">
        <v>20</v>
      </c>
    </row>
    <row r="54" spans="2:20" ht="154.5" customHeight="1" x14ac:dyDescent="0.2">
      <c r="B54" s="13" t="s">
        <v>33</v>
      </c>
      <c r="C54" s="23" t="s">
        <v>1337</v>
      </c>
      <c r="D54" s="23" t="s">
        <v>1338</v>
      </c>
      <c r="E54" s="23" t="s">
        <v>1339</v>
      </c>
      <c r="F54" s="23" t="s">
        <v>1340</v>
      </c>
      <c r="G54" s="23" t="s">
        <v>1341</v>
      </c>
      <c r="H54" s="23" t="s">
        <v>1342</v>
      </c>
      <c r="I54" s="23" t="s">
        <v>1343</v>
      </c>
      <c r="J54" s="23" t="s">
        <v>1344</v>
      </c>
      <c r="M54" s="13" t="s">
        <v>33</v>
      </c>
      <c r="N54" s="6" t="s">
        <v>1810</v>
      </c>
      <c r="O54" s="6" t="s">
        <v>1811</v>
      </c>
      <c r="P54" s="6" t="s">
        <v>1812</v>
      </c>
      <c r="Q54" s="6" t="s">
        <v>1813</v>
      </c>
      <c r="R54" s="7" t="s">
        <v>1814</v>
      </c>
      <c r="S54" s="7" t="s">
        <v>1815</v>
      </c>
      <c r="T54" s="6" t="s">
        <v>1816</v>
      </c>
    </row>
    <row r="55" spans="2:20" ht="23.5" customHeight="1" x14ac:dyDescent="0.2">
      <c r="B55" s="12"/>
      <c r="G55" s="11"/>
      <c r="H55" s="11"/>
    </row>
    <row r="56" spans="2:20" ht="23.5" customHeight="1" x14ac:dyDescent="0.2">
      <c r="B56" s="12"/>
      <c r="G56" s="11"/>
      <c r="H56" s="11"/>
    </row>
    <row r="58" spans="2:20" ht="12.75" customHeight="1" x14ac:dyDescent="0.2">
      <c r="B58" s="96" t="s">
        <v>32</v>
      </c>
      <c r="C58" s="96"/>
      <c r="D58" s="96"/>
      <c r="E58" s="96"/>
      <c r="F58" s="96"/>
      <c r="G58" s="96"/>
      <c r="H58" s="96"/>
      <c r="I58" s="96"/>
      <c r="J58" s="96"/>
      <c r="L58" s="96" t="s">
        <v>31</v>
      </c>
      <c r="M58" s="96"/>
      <c r="N58" s="96"/>
      <c r="O58" s="96"/>
      <c r="P58" s="96"/>
      <c r="Q58" s="96"/>
      <c r="R58" s="96"/>
      <c r="S58" s="96"/>
      <c r="T58" s="96"/>
    </row>
    <row r="59" spans="2:20" ht="30" x14ac:dyDescent="0.2">
      <c r="B59" s="4" t="s">
        <v>10</v>
      </c>
      <c r="C59" s="4" t="s">
        <v>9</v>
      </c>
      <c r="D59" s="4" t="s">
        <v>28</v>
      </c>
      <c r="E59" s="4" t="s">
        <v>27</v>
      </c>
      <c r="F59" s="4" t="s">
        <v>26</v>
      </c>
      <c r="G59" s="4" t="s">
        <v>25</v>
      </c>
      <c r="H59" s="4" t="s">
        <v>24</v>
      </c>
      <c r="I59" s="4" t="s">
        <v>5</v>
      </c>
      <c r="J59" s="4" t="s">
        <v>23</v>
      </c>
      <c r="L59" s="4" t="s">
        <v>10</v>
      </c>
      <c r="M59" s="4" t="s">
        <v>9</v>
      </c>
      <c r="N59" s="4" t="s">
        <v>28</v>
      </c>
      <c r="O59" s="4" t="s">
        <v>27</v>
      </c>
      <c r="P59" s="4" t="s">
        <v>26</v>
      </c>
      <c r="Q59" s="4" t="s">
        <v>25</v>
      </c>
      <c r="R59" s="4" t="s">
        <v>24</v>
      </c>
      <c r="S59" s="4" t="s">
        <v>5</v>
      </c>
      <c r="T59" s="4" t="s">
        <v>23</v>
      </c>
    </row>
    <row r="60" spans="2:20" ht="30" x14ac:dyDescent="0.2">
      <c r="B60" s="25" t="s">
        <v>1345</v>
      </c>
      <c r="C60" s="26" t="s">
        <v>16</v>
      </c>
      <c r="D60" s="26" t="s">
        <v>1330</v>
      </c>
      <c r="E60" s="26" t="s">
        <v>16</v>
      </c>
      <c r="F60" s="26" t="s">
        <v>140</v>
      </c>
      <c r="G60" s="26" t="s">
        <v>1334</v>
      </c>
      <c r="H60" s="26" t="s">
        <v>833</v>
      </c>
      <c r="I60" s="26" t="s">
        <v>20</v>
      </c>
      <c r="J60" s="3" t="s">
        <v>142</v>
      </c>
      <c r="L60" s="3" t="s">
        <v>1817</v>
      </c>
      <c r="M60" s="3" t="s">
        <v>21</v>
      </c>
      <c r="N60" s="3" t="s">
        <v>179</v>
      </c>
      <c r="O60" s="3" t="s">
        <v>20</v>
      </c>
      <c r="P60" s="3" t="s">
        <v>1697</v>
      </c>
      <c r="Q60" s="3" t="s">
        <v>21</v>
      </c>
      <c r="R60" s="3" t="s">
        <v>141</v>
      </c>
      <c r="S60" s="28" t="s">
        <v>20</v>
      </c>
      <c r="T60" s="28" t="s">
        <v>20</v>
      </c>
    </row>
    <row r="61" spans="2:20" ht="45" x14ac:dyDescent="0.2">
      <c r="B61" s="25" t="s">
        <v>1346</v>
      </c>
      <c r="C61" s="26" t="s">
        <v>17</v>
      </c>
      <c r="D61" s="26" t="s">
        <v>1330</v>
      </c>
      <c r="E61" s="26" t="s">
        <v>16</v>
      </c>
      <c r="F61" s="26" t="s">
        <v>140</v>
      </c>
      <c r="G61" s="26" t="s">
        <v>1334</v>
      </c>
      <c r="H61" s="26" t="s">
        <v>21</v>
      </c>
      <c r="I61" s="26" t="s">
        <v>20</v>
      </c>
      <c r="J61" s="3" t="s">
        <v>142</v>
      </c>
      <c r="L61" s="3" t="s">
        <v>1818</v>
      </c>
      <c r="M61" s="3" t="s">
        <v>18</v>
      </c>
      <c r="N61" s="3" t="s">
        <v>18</v>
      </c>
      <c r="O61" s="3" t="s">
        <v>20</v>
      </c>
      <c r="P61" s="3" t="s">
        <v>140</v>
      </c>
      <c r="Q61" s="3" t="s">
        <v>21</v>
      </c>
      <c r="R61" s="3" t="s">
        <v>141</v>
      </c>
      <c r="S61" s="28" t="s">
        <v>20</v>
      </c>
      <c r="T61" s="28" t="s">
        <v>20</v>
      </c>
    </row>
    <row r="62" spans="2:20" ht="45" x14ac:dyDescent="0.2">
      <c r="B62" s="25" t="s">
        <v>1347</v>
      </c>
      <c r="C62" s="26" t="s">
        <v>315</v>
      </c>
      <c r="D62" s="26" t="s">
        <v>1330</v>
      </c>
      <c r="E62" s="26" t="s">
        <v>20</v>
      </c>
      <c r="F62" s="26" t="s">
        <v>140</v>
      </c>
      <c r="G62" s="26" t="s">
        <v>21</v>
      </c>
      <c r="H62" s="26" t="s">
        <v>141</v>
      </c>
      <c r="I62" s="26" t="s">
        <v>20</v>
      </c>
      <c r="J62" s="3" t="s">
        <v>142</v>
      </c>
      <c r="L62" s="3" t="s">
        <v>1819</v>
      </c>
      <c r="M62" s="3" t="s">
        <v>16</v>
      </c>
      <c r="N62" s="3" t="s">
        <v>18</v>
      </c>
      <c r="O62" s="3" t="s">
        <v>20</v>
      </c>
      <c r="P62" s="3" t="s">
        <v>1697</v>
      </c>
      <c r="Q62" s="3" t="s">
        <v>21</v>
      </c>
      <c r="R62" s="3" t="s">
        <v>141</v>
      </c>
      <c r="S62" s="28" t="s">
        <v>20</v>
      </c>
      <c r="T62" s="28" t="s">
        <v>20</v>
      </c>
    </row>
    <row r="63" spans="2:20" ht="45" x14ac:dyDescent="0.2">
      <c r="B63" s="25" t="s">
        <v>1348</v>
      </c>
      <c r="C63" s="26" t="s">
        <v>18</v>
      </c>
      <c r="D63" s="26" t="s">
        <v>1331</v>
      </c>
      <c r="E63" s="26" t="s">
        <v>20</v>
      </c>
      <c r="F63" s="26" t="s">
        <v>1515</v>
      </c>
      <c r="G63" s="26" t="s">
        <v>21</v>
      </c>
      <c r="H63" s="26" t="s">
        <v>141</v>
      </c>
      <c r="I63" s="26" t="s">
        <v>20</v>
      </c>
      <c r="J63" s="3" t="s">
        <v>142</v>
      </c>
      <c r="L63" s="3" t="s">
        <v>1820</v>
      </c>
      <c r="M63" s="3" t="s">
        <v>18</v>
      </c>
      <c r="N63" s="3" t="s">
        <v>440</v>
      </c>
      <c r="O63" s="3" t="s">
        <v>16</v>
      </c>
      <c r="P63" s="3" t="s">
        <v>140</v>
      </c>
      <c r="Q63" s="3" t="s">
        <v>192</v>
      </c>
      <c r="R63" s="3" t="s">
        <v>141</v>
      </c>
      <c r="S63" s="28" t="s">
        <v>20</v>
      </c>
      <c r="T63" s="28" t="s">
        <v>20</v>
      </c>
    </row>
    <row r="64" spans="2:20" ht="30" x14ac:dyDescent="0.2">
      <c r="B64" s="25" t="s">
        <v>1349</v>
      </c>
      <c r="C64" s="26" t="s">
        <v>18</v>
      </c>
      <c r="D64" s="26" t="s">
        <v>1332</v>
      </c>
      <c r="E64" s="26" t="s">
        <v>189</v>
      </c>
      <c r="F64" s="26" t="s">
        <v>140</v>
      </c>
      <c r="G64" s="26" t="s">
        <v>21</v>
      </c>
      <c r="H64" s="26" t="s">
        <v>21</v>
      </c>
      <c r="I64" s="26" t="s">
        <v>20</v>
      </c>
      <c r="J64" s="3" t="s">
        <v>142</v>
      </c>
      <c r="L64" s="3" t="s">
        <v>1821</v>
      </c>
      <c r="M64" s="3" t="s">
        <v>18</v>
      </c>
      <c r="N64" s="3" t="s">
        <v>18</v>
      </c>
      <c r="O64" s="3" t="s">
        <v>20</v>
      </c>
      <c r="P64" s="3" t="s">
        <v>1697</v>
      </c>
      <c r="Q64" s="3" t="s">
        <v>21</v>
      </c>
      <c r="R64" s="3" t="s">
        <v>141</v>
      </c>
      <c r="S64" s="28" t="s">
        <v>20</v>
      </c>
      <c r="T64" s="28" t="s">
        <v>20</v>
      </c>
    </row>
    <row r="65" spans="2:20" ht="45" x14ac:dyDescent="0.2">
      <c r="B65" s="25" t="s">
        <v>1350</v>
      </c>
      <c r="C65" s="26" t="s">
        <v>18</v>
      </c>
      <c r="D65" s="26" t="s">
        <v>1333</v>
      </c>
      <c r="E65" s="26" t="s">
        <v>16</v>
      </c>
      <c r="F65" s="26" t="s">
        <v>1516</v>
      </c>
      <c r="G65" s="26" t="s">
        <v>21</v>
      </c>
      <c r="H65" s="26" t="s">
        <v>141</v>
      </c>
      <c r="I65" s="26" t="s">
        <v>20</v>
      </c>
      <c r="J65" s="3" t="s">
        <v>142</v>
      </c>
      <c r="L65" s="3" t="s">
        <v>1822</v>
      </c>
      <c r="M65" s="3" t="s">
        <v>315</v>
      </c>
      <c r="N65" s="3" t="s">
        <v>18</v>
      </c>
      <c r="O65" s="3" t="s">
        <v>20</v>
      </c>
      <c r="P65" s="3" t="s">
        <v>140</v>
      </c>
      <c r="Q65" s="3" t="s">
        <v>21</v>
      </c>
      <c r="R65" s="3" t="s">
        <v>141</v>
      </c>
      <c r="S65" s="28" t="s">
        <v>20</v>
      </c>
      <c r="T65" s="28" t="s">
        <v>20</v>
      </c>
    </row>
    <row r="66" spans="2:20" ht="30" x14ac:dyDescent="0.2">
      <c r="B66" s="25" t="s">
        <v>1351</v>
      </c>
      <c r="C66" s="26" t="s">
        <v>192</v>
      </c>
      <c r="D66" s="26" t="s">
        <v>179</v>
      </c>
      <c r="E66" s="26" t="s">
        <v>20</v>
      </c>
      <c r="F66" s="26" t="s">
        <v>696</v>
      </c>
      <c r="G66" s="26" t="s">
        <v>21</v>
      </c>
      <c r="H66" s="26" t="s">
        <v>141</v>
      </c>
      <c r="I66" s="26" t="s">
        <v>20</v>
      </c>
      <c r="J66" s="3" t="s">
        <v>142</v>
      </c>
      <c r="L66" s="3" t="s">
        <v>1823</v>
      </c>
      <c r="M66" s="3" t="s">
        <v>21</v>
      </c>
      <c r="N66" s="3" t="s">
        <v>179</v>
      </c>
      <c r="O66" s="3" t="s">
        <v>20</v>
      </c>
      <c r="P66" s="3" t="s">
        <v>140</v>
      </c>
      <c r="Q66" s="3" t="s">
        <v>21</v>
      </c>
      <c r="R66" s="3" t="s">
        <v>141</v>
      </c>
      <c r="S66" s="28" t="s">
        <v>20</v>
      </c>
      <c r="T66" s="28" t="s">
        <v>20</v>
      </c>
    </row>
    <row r="67" spans="2:20" ht="15" x14ac:dyDescent="0.2">
      <c r="B67" s="25" t="s">
        <v>1352</v>
      </c>
      <c r="C67" s="26" t="s">
        <v>18</v>
      </c>
      <c r="D67" s="26" t="s">
        <v>179</v>
      </c>
      <c r="E67" s="26" t="s">
        <v>20</v>
      </c>
      <c r="F67" s="26" t="s">
        <v>696</v>
      </c>
      <c r="G67" s="26" t="s">
        <v>21</v>
      </c>
      <c r="H67" s="26" t="s">
        <v>141</v>
      </c>
      <c r="I67" s="26" t="s">
        <v>20</v>
      </c>
      <c r="J67" s="3" t="s">
        <v>142</v>
      </c>
      <c r="L67" s="3"/>
      <c r="M67" s="3"/>
      <c r="N67" s="3"/>
      <c r="O67" s="3"/>
      <c r="P67" s="3"/>
      <c r="Q67" s="3"/>
      <c r="R67" s="3"/>
      <c r="S67" s="3"/>
      <c r="T67" s="3"/>
    </row>
    <row r="68" spans="2:20" x14ac:dyDescent="0.2">
      <c r="B68" s="3"/>
      <c r="C68" s="3"/>
      <c r="D68" s="3"/>
      <c r="E68" s="3"/>
      <c r="F68" s="3"/>
      <c r="G68" s="3"/>
      <c r="H68" s="3"/>
      <c r="I68" s="3"/>
      <c r="J68" s="3"/>
      <c r="L68" s="3"/>
      <c r="M68" s="3"/>
      <c r="N68" s="3"/>
      <c r="O68" s="3"/>
      <c r="P68" s="3"/>
      <c r="Q68" s="3"/>
      <c r="R68" s="3"/>
      <c r="S68" s="3"/>
      <c r="T68" s="3"/>
    </row>
    <row r="69" spans="2:20" x14ac:dyDescent="0.2">
      <c r="B69" s="3"/>
      <c r="C69" s="3"/>
      <c r="D69" s="3"/>
      <c r="E69" s="3"/>
      <c r="F69" s="3"/>
      <c r="G69" s="3"/>
      <c r="H69" s="3"/>
      <c r="I69" s="3"/>
      <c r="J69" s="3"/>
      <c r="L69" s="3"/>
      <c r="M69" s="3"/>
      <c r="N69" s="3"/>
      <c r="O69" s="3"/>
      <c r="P69" s="3"/>
      <c r="Q69" s="3"/>
      <c r="R69" s="3"/>
      <c r="S69" s="3"/>
      <c r="T69" s="3"/>
    </row>
    <row r="70" spans="2:20" x14ac:dyDescent="0.2">
      <c r="B70" s="10"/>
      <c r="C70" s="10"/>
      <c r="D70" s="10"/>
      <c r="E70" s="10"/>
      <c r="F70" s="10"/>
      <c r="G70" s="10"/>
      <c r="H70" s="10"/>
      <c r="I70" s="10"/>
      <c r="J70" s="10"/>
    </row>
    <row r="72" spans="2:20" ht="12.75" customHeight="1" x14ac:dyDescent="0.2">
      <c r="B72" s="96" t="s">
        <v>30</v>
      </c>
      <c r="C72" s="96"/>
      <c r="D72" s="96"/>
      <c r="E72" s="96"/>
      <c r="F72" s="96"/>
      <c r="G72" s="96"/>
      <c r="H72" s="96"/>
      <c r="I72" s="96"/>
      <c r="J72" s="96"/>
    </row>
    <row r="73" spans="2:20" ht="15" x14ac:dyDescent="0.2">
      <c r="B73" s="58" t="s">
        <v>29</v>
      </c>
      <c r="C73" s="58" t="s">
        <v>1353</v>
      </c>
      <c r="D73" s="58" t="s">
        <v>865</v>
      </c>
      <c r="E73" s="58" t="s">
        <v>1354</v>
      </c>
      <c r="F73" s="58" t="s">
        <v>1355</v>
      </c>
      <c r="G73" s="58" t="s">
        <v>1356</v>
      </c>
      <c r="H73" s="58" t="s">
        <v>725</v>
      </c>
      <c r="I73" s="58" t="s">
        <v>26</v>
      </c>
      <c r="J73" s="4" t="s">
        <v>1381</v>
      </c>
    </row>
    <row r="74" spans="2:20" ht="30" x14ac:dyDescent="0.2">
      <c r="B74" s="25" t="s">
        <v>200</v>
      </c>
      <c r="C74" s="23" t="s">
        <v>1357</v>
      </c>
      <c r="D74" s="26" t="s">
        <v>1358</v>
      </c>
      <c r="E74" s="23" t="s">
        <v>1359</v>
      </c>
      <c r="F74" s="26" t="s">
        <v>1360</v>
      </c>
      <c r="G74" s="26" t="s">
        <v>1361</v>
      </c>
      <c r="H74" s="26" t="s">
        <v>142</v>
      </c>
      <c r="I74" s="23" t="s">
        <v>202</v>
      </c>
      <c r="J74" s="3" t="s">
        <v>1382</v>
      </c>
    </row>
    <row r="75" spans="2:20" ht="30" x14ac:dyDescent="0.2">
      <c r="B75" s="25" t="s">
        <v>1362</v>
      </c>
      <c r="C75" s="26" t="s">
        <v>710</v>
      </c>
      <c r="D75" s="23" t="s">
        <v>1363</v>
      </c>
      <c r="E75" s="23" t="s">
        <v>1364</v>
      </c>
      <c r="F75" s="26" t="s">
        <v>710</v>
      </c>
      <c r="G75" s="26" t="s">
        <v>1365</v>
      </c>
      <c r="H75" s="23" t="s">
        <v>1366</v>
      </c>
      <c r="I75" s="26" t="s">
        <v>207</v>
      </c>
      <c r="J75" s="3" t="s">
        <v>1383</v>
      </c>
    </row>
    <row r="76" spans="2:20" ht="30" x14ac:dyDescent="0.2">
      <c r="B76" s="25" t="s">
        <v>1367</v>
      </c>
      <c r="C76" s="23" t="s">
        <v>1368</v>
      </c>
      <c r="D76" s="23" t="s">
        <v>1369</v>
      </c>
      <c r="E76" s="23" t="s">
        <v>1370</v>
      </c>
      <c r="F76" s="26" t="s">
        <v>1040</v>
      </c>
      <c r="G76" s="23" t="s">
        <v>1371</v>
      </c>
      <c r="H76" s="26" t="s">
        <v>1372</v>
      </c>
      <c r="I76" s="26" t="s">
        <v>1373</v>
      </c>
      <c r="J76" s="6" t="s">
        <v>1384</v>
      </c>
    </row>
    <row r="77" spans="2:20" ht="15" x14ac:dyDescent="0.2">
      <c r="B77" s="25" t="s">
        <v>1374</v>
      </c>
      <c r="C77" s="23" t="s">
        <v>1375</v>
      </c>
      <c r="D77" s="23" t="s">
        <v>1376</v>
      </c>
      <c r="E77" s="26" t="s">
        <v>1377</v>
      </c>
      <c r="F77" s="26" t="s">
        <v>22</v>
      </c>
      <c r="G77" s="26" t="s">
        <v>1378</v>
      </c>
      <c r="H77" s="23" t="s">
        <v>1379</v>
      </c>
      <c r="I77" s="23" t="s">
        <v>1380</v>
      </c>
      <c r="J77" s="6" t="s">
        <v>1385</v>
      </c>
    </row>
    <row r="78" spans="2:20" x14ac:dyDescent="0.2">
      <c r="B78" s="6"/>
      <c r="C78" s="9"/>
      <c r="D78" s="6"/>
      <c r="E78" s="6"/>
      <c r="F78" s="6"/>
      <c r="G78" s="6"/>
      <c r="H78" s="6"/>
      <c r="I78" s="6"/>
      <c r="J78" s="6"/>
    </row>
    <row r="79" spans="2:20" x14ac:dyDescent="0.2">
      <c r="B79" s="6"/>
      <c r="C79" s="8"/>
      <c r="D79" s="6"/>
      <c r="E79" s="6"/>
      <c r="F79" s="6"/>
      <c r="G79" s="6"/>
      <c r="H79" s="6"/>
      <c r="I79" s="6"/>
      <c r="J79" s="6"/>
    </row>
    <row r="80" spans="2:20" x14ac:dyDescent="0.2">
      <c r="B80" s="7"/>
      <c r="C80" s="7"/>
      <c r="D80" s="8"/>
      <c r="E80" s="7"/>
      <c r="F80" s="6"/>
      <c r="G80" s="6"/>
      <c r="H80" s="6"/>
      <c r="I80" s="6"/>
      <c r="J80" s="6"/>
    </row>
    <row r="81" spans="2:11" x14ac:dyDescent="0.2">
      <c r="B81" s="7"/>
      <c r="C81" s="8"/>
      <c r="D81" s="6"/>
      <c r="E81" s="6"/>
      <c r="F81" s="6"/>
      <c r="G81" s="6"/>
      <c r="H81" s="6"/>
      <c r="I81" s="6"/>
      <c r="J81" s="6"/>
    </row>
    <row r="82" spans="2:11" x14ac:dyDescent="0.2">
      <c r="B82" s="7"/>
      <c r="C82" s="7"/>
      <c r="D82" s="6"/>
      <c r="E82" s="6"/>
      <c r="F82" s="6"/>
      <c r="G82" s="6"/>
      <c r="H82" s="6"/>
      <c r="I82" s="6"/>
      <c r="J82" s="6"/>
    </row>
    <row r="84" spans="2:11" ht="12.75" customHeight="1" x14ac:dyDescent="0.2">
      <c r="B84" s="97" t="s">
        <v>15</v>
      </c>
      <c r="C84" s="97"/>
      <c r="D84" s="97"/>
      <c r="E84" s="97"/>
      <c r="F84" s="97"/>
      <c r="G84" s="97"/>
      <c r="H84" s="97"/>
    </row>
    <row r="85" spans="2:11" ht="13.75" customHeight="1" x14ac:dyDescent="0.2">
      <c r="B85" s="5" t="s">
        <v>10</v>
      </c>
      <c r="C85" s="5" t="s">
        <v>9</v>
      </c>
      <c r="D85" s="5" t="s">
        <v>14</v>
      </c>
      <c r="E85" s="5" t="s">
        <v>7</v>
      </c>
      <c r="F85" s="5" t="s">
        <v>13</v>
      </c>
      <c r="G85" s="5" t="s">
        <v>5</v>
      </c>
      <c r="H85" s="5" t="s">
        <v>12</v>
      </c>
      <c r="J85" s="91" t="s">
        <v>11</v>
      </c>
      <c r="K85" s="92"/>
    </row>
    <row r="86" spans="2:11" ht="13.75" customHeight="1" x14ac:dyDescent="0.2">
      <c r="B86" s="4" t="s">
        <v>10</v>
      </c>
      <c r="C86" s="4" t="s">
        <v>9</v>
      </c>
      <c r="D86" s="4" t="s">
        <v>8</v>
      </c>
      <c r="E86" s="4" t="s">
        <v>7</v>
      </c>
      <c r="F86" s="4" t="s">
        <v>6</v>
      </c>
      <c r="G86" s="4" t="s">
        <v>5</v>
      </c>
      <c r="H86" s="4" t="s">
        <v>4</v>
      </c>
      <c r="J86" s="91" t="s">
        <v>3</v>
      </c>
      <c r="K86" s="92"/>
    </row>
    <row r="87" spans="2:11" ht="13.75" customHeight="1" x14ac:dyDescent="0.2">
      <c r="B87" s="25" t="s">
        <v>1386</v>
      </c>
      <c r="C87" s="26">
        <v>5</v>
      </c>
      <c r="D87" s="26">
        <v>5</v>
      </c>
      <c r="E87" s="26">
        <v>5</v>
      </c>
      <c r="F87" s="26">
        <v>5</v>
      </c>
      <c r="G87" s="26">
        <v>3</v>
      </c>
      <c r="H87" s="2"/>
      <c r="J87" s="91" t="s">
        <v>2</v>
      </c>
      <c r="K87" s="92"/>
    </row>
    <row r="88" spans="2:11" ht="13.75" customHeight="1" x14ac:dyDescent="0.2">
      <c r="B88" s="25" t="s">
        <v>1347</v>
      </c>
      <c r="C88" s="26">
        <v>4</v>
      </c>
      <c r="D88" s="26">
        <v>5</v>
      </c>
      <c r="E88" s="26">
        <v>5</v>
      </c>
      <c r="F88" s="26">
        <v>5</v>
      </c>
      <c r="G88" s="26">
        <v>3</v>
      </c>
      <c r="H88" s="2"/>
      <c r="J88" s="91" t="s">
        <v>1</v>
      </c>
      <c r="K88" s="92"/>
    </row>
    <row r="89" spans="2:11" ht="30" x14ac:dyDescent="0.2">
      <c r="B89" s="25" t="s">
        <v>1387</v>
      </c>
      <c r="C89" s="26">
        <v>3</v>
      </c>
      <c r="D89" s="26">
        <v>5</v>
      </c>
      <c r="E89" s="26">
        <v>4</v>
      </c>
      <c r="F89" s="26">
        <v>4</v>
      </c>
      <c r="G89" s="26">
        <v>3</v>
      </c>
      <c r="H89" s="2"/>
      <c r="J89" s="92" t="s">
        <v>0</v>
      </c>
      <c r="K89" s="92"/>
    </row>
    <row r="90" spans="2:11" ht="30" x14ac:dyDescent="0.2">
      <c r="B90" s="25" t="s">
        <v>1350</v>
      </c>
      <c r="C90" s="26">
        <v>3</v>
      </c>
      <c r="D90" s="26">
        <v>5</v>
      </c>
      <c r="E90" s="26">
        <v>4</v>
      </c>
      <c r="F90" s="26">
        <v>3</v>
      </c>
      <c r="G90" s="26">
        <v>3</v>
      </c>
      <c r="H90" s="2"/>
    </row>
    <row r="91" spans="2:11" ht="15" x14ac:dyDescent="0.2">
      <c r="B91" s="25" t="s">
        <v>1345</v>
      </c>
      <c r="C91" s="26">
        <v>5</v>
      </c>
      <c r="D91" s="26">
        <v>4</v>
      </c>
      <c r="E91" s="26">
        <v>5</v>
      </c>
      <c r="F91" s="26">
        <v>5</v>
      </c>
      <c r="G91" s="26">
        <v>3</v>
      </c>
      <c r="H91" s="2"/>
    </row>
    <row r="92" spans="2:11" ht="30" x14ac:dyDescent="0.2">
      <c r="B92" s="25" t="s">
        <v>1388</v>
      </c>
      <c r="C92" s="26">
        <v>3</v>
      </c>
      <c r="D92" s="26">
        <v>5</v>
      </c>
      <c r="E92" s="26">
        <v>3</v>
      </c>
      <c r="F92" s="26">
        <v>2</v>
      </c>
      <c r="G92" s="26">
        <v>3</v>
      </c>
      <c r="H92" s="2"/>
    </row>
    <row r="93" spans="2:11" ht="30" x14ac:dyDescent="0.2">
      <c r="B93" s="25" t="s">
        <v>1389</v>
      </c>
      <c r="C93" s="26">
        <v>3</v>
      </c>
      <c r="D93" s="26">
        <v>5</v>
      </c>
      <c r="E93" s="26">
        <v>3</v>
      </c>
      <c r="F93" s="26">
        <v>2</v>
      </c>
      <c r="G93" s="26">
        <v>4</v>
      </c>
      <c r="H93" s="2"/>
    </row>
    <row r="94" spans="2:11" ht="20.75" customHeight="1" x14ac:dyDescent="0.2">
      <c r="B94" s="25" t="s">
        <v>1348</v>
      </c>
      <c r="C94" s="26">
        <v>3</v>
      </c>
      <c r="D94" s="26">
        <v>4</v>
      </c>
      <c r="E94" s="26">
        <v>4</v>
      </c>
      <c r="F94" s="26">
        <v>3</v>
      </c>
      <c r="G94" s="26">
        <v>4</v>
      </c>
      <c r="H94" s="2"/>
    </row>
    <row r="95" spans="2:11" ht="20.75" customHeight="1" x14ac:dyDescent="0.2">
      <c r="B95" s="3"/>
      <c r="C95" s="3"/>
      <c r="D95" s="3"/>
      <c r="E95" s="3"/>
      <c r="F95" s="3"/>
      <c r="G95" s="3"/>
      <c r="H95" s="2"/>
    </row>
    <row r="96" spans="2:11" ht="20.75" customHeight="1" x14ac:dyDescent="0.2">
      <c r="B96" s="3"/>
      <c r="C96" s="3"/>
      <c r="D96" s="3"/>
      <c r="E96" s="3"/>
      <c r="F96" s="3"/>
      <c r="G96" s="3"/>
      <c r="H96" s="2"/>
    </row>
    <row r="97" spans="1:14" ht="20.75" customHeight="1" x14ac:dyDescent="0.2"/>
    <row r="98" spans="1:14" ht="29.5" customHeight="1" x14ac:dyDescent="0.2"/>
    <row r="102" spans="1:14" ht="15" x14ac:dyDescent="0.2">
      <c r="A102" s="142" t="s">
        <v>1616</v>
      </c>
      <c r="B102" s="140"/>
      <c r="C102" s="140"/>
      <c r="D102" s="140"/>
      <c r="E102" s="140"/>
      <c r="F102" s="140"/>
      <c r="G102" s="140"/>
      <c r="H102" s="140"/>
      <c r="I102" s="140"/>
      <c r="J102" s="140"/>
      <c r="K102" s="140"/>
      <c r="L102" s="140"/>
      <c r="M102" s="140"/>
      <c r="N102" s="141"/>
    </row>
    <row r="103" spans="1:14" ht="15" x14ac:dyDescent="0.2">
      <c r="A103" s="139" t="s">
        <v>1605</v>
      </c>
      <c r="B103" s="140"/>
      <c r="C103" s="140"/>
      <c r="D103" s="140"/>
      <c r="E103" s="140"/>
      <c r="F103" s="140"/>
      <c r="G103" s="140"/>
      <c r="H103" s="140"/>
      <c r="I103" s="140"/>
      <c r="J103" s="140"/>
      <c r="K103" s="140"/>
      <c r="L103" s="140"/>
      <c r="M103" s="140"/>
      <c r="N103" s="141"/>
    </row>
    <row r="104" spans="1:14" ht="15" x14ac:dyDescent="0.2">
      <c r="A104" s="139" t="s">
        <v>1606</v>
      </c>
      <c r="B104" s="140"/>
      <c r="C104" s="140"/>
      <c r="D104" s="140"/>
      <c r="E104" s="140"/>
      <c r="F104" s="140"/>
      <c r="G104" s="140"/>
      <c r="H104" s="140"/>
      <c r="I104" s="140"/>
      <c r="J104" s="140"/>
      <c r="K104" s="140"/>
      <c r="L104" s="140"/>
      <c r="M104" s="140"/>
      <c r="N104" s="141"/>
    </row>
    <row r="105" spans="1:14" ht="15" x14ac:dyDescent="0.2">
      <c r="A105" s="139" t="s">
        <v>1607</v>
      </c>
      <c r="B105" s="140"/>
      <c r="C105" s="140"/>
      <c r="D105" s="140"/>
      <c r="E105" s="140"/>
      <c r="F105" s="140"/>
      <c r="G105" s="140"/>
      <c r="H105" s="140"/>
      <c r="I105" s="140"/>
      <c r="J105" s="140"/>
      <c r="K105" s="140"/>
      <c r="L105" s="140"/>
      <c r="M105" s="140"/>
      <c r="N105" s="141"/>
    </row>
    <row r="106" spans="1:14" ht="15" x14ac:dyDescent="0.2">
      <c r="A106" s="139" t="s">
        <v>1608</v>
      </c>
      <c r="B106" s="140"/>
      <c r="C106" s="140"/>
      <c r="D106" s="140"/>
      <c r="E106" s="140"/>
      <c r="F106" s="140"/>
      <c r="G106" s="140"/>
      <c r="H106" s="140"/>
      <c r="I106" s="140"/>
      <c r="J106" s="140"/>
      <c r="K106" s="140"/>
      <c r="L106" s="140"/>
      <c r="M106" s="140"/>
      <c r="N106" s="141"/>
    </row>
    <row r="107" spans="1:14" ht="15" x14ac:dyDescent="0.2">
      <c r="A107" s="139" t="s">
        <v>1609</v>
      </c>
      <c r="B107" s="140"/>
      <c r="C107" s="140"/>
      <c r="D107" s="140"/>
      <c r="E107" s="140"/>
      <c r="F107" s="140"/>
      <c r="G107" s="140"/>
      <c r="H107" s="140"/>
      <c r="I107" s="140"/>
      <c r="J107" s="140"/>
      <c r="K107" s="140"/>
      <c r="L107" s="140"/>
      <c r="M107" s="140"/>
      <c r="N107" s="141"/>
    </row>
    <row r="108" spans="1:14" x14ac:dyDescent="0.2">
      <c r="A108" s="147" t="s">
        <v>1911</v>
      </c>
    </row>
  </sheetData>
  <mergeCells count="43">
    <mergeCell ref="B1:E1"/>
    <mergeCell ref="C2:E2"/>
    <mergeCell ref="C3:E3"/>
    <mergeCell ref="C4:E4"/>
    <mergeCell ref="C5:E5"/>
    <mergeCell ref="C15:E15"/>
    <mergeCell ref="C16:E16"/>
    <mergeCell ref="C17:E17"/>
    <mergeCell ref="B20:E20"/>
    <mergeCell ref="C6:E6"/>
    <mergeCell ref="C7:E7"/>
    <mergeCell ref="B10:E10"/>
    <mergeCell ref="G10:I10"/>
    <mergeCell ref="C11:E11"/>
    <mergeCell ref="C12:E12"/>
    <mergeCell ref="C14:E14"/>
    <mergeCell ref="C13:E13"/>
    <mergeCell ref="B34:E34"/>
    <mergeCell ref="G34:J34"/>
    <mergeCell ref="C35:E35"/>
    <mergeCell ref="H35:J35"/>
    <mergeCell ref="L58:T58"/>
    <mergeCell ref="C36:E36"/>
    <mergeCell ref="H36:J36"/>
    <mergeCell ref="C37:E37"/>
    <mergeCell ref="H37:J37"/>
    <mergeCell ref="C38:E38"/>
    <mergeCell ref="H38:J38"/>
    <mergeCell ref="J86:K86"/>
    <mergeCell ref="J87:K87"/>
    <mergeCell ref="J88:K88"/>
    <mergeCell ref="J89:K89"/>
    <mergeCell ref="H39:J39"/>
    <mergeCell ref="B58:J58"/>
    <mergeCell ref="B72:J72"/>
    <mergeCell ref="B84:H84"/>
    <mergeCell ref="J85:K85"/>
    <mergeCell ref="A107:N107"/>
    <mergeCell ref="A102:N102"/>
    <mergeCell ref="A103:N103"/>
    <mergeCell ref="A104:N104"/>
    <mergeCell ref="A105:N105"/>
    <mergeCell ref="A106:N106"/>
  </mergeCells>
  <pageMargins left="0.7" right="0.7" top="0.75" bottom="0.75" header="0.3" footer="0.3"/>
  <pageSetup paperSize="9"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0FCC-9082-4DE6-9A1B-4E612E907C21}">
  <dimension ref="A1:T104"/>
  <sheetViews>
    <sheetView tabSelected="1" topLeftCell="A19" zoomScale="125" workbookViewId="0">
      <selection activeCell="F27" sqref="F27"/>
    </sheetView>
  </sheetViews>
  <sheetFormatPr baseColWidth="10" defaultColWidth="12.59765625" defaultRowHeight="14" x14ac:dyDescent="0.2"/>
  <cols>
    <col min="1" max="1" width="7" style="1" customWidth="1"/>
    <col min="2" max="2" width="21.59765625" style="1" customWidth="1"/>
    <col min="3" max="3" width="23.796875" style="1" customWidth="1"/>
    <col min="4" max="4" width="23.3984375" style="1" customWidth="1"/>
    <col min="5" max="5" width="21.796875" style="1" customWidth="1"/>
    <col min="6" max="7" width="22.59765625" style="1" customWidth="1"/>
    <col min="8" max="8" width="23.19921875" style="1" customWidth="1"/>
    <col min="9" max="9" width="24.59765625" style="1" customWidth="1"/>
    <col min="10" max="10" width="15.3984375" style="1" bestFit="1" customWidth="1"/>
  </cols>
  <sheetData>
    <row r="1" spans="2:9" ht="12.75" customHeight="1" x14ac:dyDescent="0.2">
      <c r="B1" s="98" t="s">
        <v>37</v>
      </c>
      <c r="C1" s="98"/>
      <c r="D1" s="98"/>
      <c r="E1" s="98"/>
    </row>
    <row r="2" spans="2:9" ht="12.75" customHeight="1" x14ac:dyDescent="0.2">
      <c r="B2" s="13" t="s">
        <v>70</v>
      </c>
      <c r="C2" s="101" t="s">
        <v>1390</v>
      </c>
      <c r="D2" s="101"/>
      <c r="E2" s="101"/>
    </row>
    <row r="3" spans="2:9" ht="12.75" customHeight="1" x14ac:dyDescent="0.2">
      <c r="B3" s="13" t="s">
        <v>69</v>
      </c>
      <c r="C3" s="101" t="s">
        <v>1391</v>
      </c>
      <c r="D3" s="101"/>
      <c r="E3" s="101"/>
    </row>
    <row r="4" spans="2:9" ht="12.75" customHeight="1" x14ac:dyDescent="0.2">
      <c r="B4" s="13" t="s">
        <v>68</v>
      </c>
      <c r="C4" s="101" t="s">
        <v>1392</v>
      </c>
      <c r="D4" s="101"/>
      <c r="E4" s="101"/>
    </row>
    <row r="5" spans="2:9" ht="12.75" customHeight="1" x14ac:dyDescent="0.2">
      <c r="B5" s="13" t="s">
        <v>67</v>
      </c>
      <c r="C5" s="101" t="s">
        <v>1393</v>
      </c>
      <c r="D5" s="101"/>
      <c r="E5" s="101"/>
    </row>
    <row r="6" spans="2:9" ht="12.75" customHeight="1" x14ac:dyDescent="0.2">
      <c r="B6" s="13" t="s">
        <v>66</v>
      </c>
      <c r="C6" s="101" t="s">
        <v>1394</v>
      </c>
      <c r="D6" s="101"/>
      <c r="E6" s="101"/>
    </row>
    <row r="7" spans="2:9" x14ac:dyDescent="0.2">
      <c r="C7" s="102"/>
      <c r="D7" s="102"/>
      <c r="E7" s="102"/>
    </row>
    <row r="8" spans="2:9" ht="17" x14ac:dyDescent="0.2">
      <c r="B8" s="16" t="s">
        <v>65</v>
      </c>
    </row>
    <row r="10" spans="2:9" ht="12.75" customHeight="1" x14ac:dyDescent="0.2">
      <c r="B10" s="96" t="s">
        <v>64</v>
      </c>
      <c r="C10" s="96"/>
      <c r="D10" s="96"/>
      <c r="E10" s="96"/>
      <c r="G10" s="96" t="s">
        <v>63</v>
      </c>
      <c r="H10" s="96"/>
      <c r="I10" s="96"/>
    </row>
    <row r="11" spans="2:9" ht="42" customHeight="1" x14ac:dyDescent="0.2">
      <c r="B11" s="25" t="s">
        <v>1395</v>
      </c>
      <c r="C11" s="99" t="s">
        <v>1401</v>
      </c>
      <c r="D11" s="99"/>
      <c r="E11" s="99"/>
      <c r="G11" s="4" t="s">
        <v>62</v>
      </c>
      <c r="H11" s="4" t="s">
        <v>61</v>
      </c>
      <c r="I11" s="4" t="s">
        <v>60</v>
      </c>
    </row>
    <row r="12" spans="2:9" ht="45" customHeight="1" x14ac:dyDescent="0.2">
      <c r="B12" s="25" t="s">
        <v>1396</v>
      </c>
      <c r="C12" s="99" t="s">
        <v>1916</v>
      </c>
      <c r="D12" s="99"/>
      <c r="E12" s="99"/>
      <c r="G12" s="19">
        <v>1</v>
      </c>
      <c r="H12" s="23" t="s">
        <v>1406</v>
      </c>
      <c r="I12" s="19" t="s">
        <v>1413</v>
      </c>
    </row>
    <row r="13" spans="2:9" ht="62.25" customHeight="1" x14ac:dyDescent="0.2">
      <c r="B13" s="25" t="s">
        <v>1397</v>
      </c>
      <c r="C13" s="99" t="s">
        <v>1402</v>
      </c>
      <c r="D13" s="99"/>
      <c r="E13" s="99"/>
      <c r="G13" s="19">
        <v>2</v>
      </c>
      <c r="H13" s="23" t="s">
        <v>1407</v>
      </c>
      <c r="I13" s="19" t="s">
        <v>1414</v>
      </c>
    </row>
    <row r="14" spans="2:9" ht="54.75" customHeight="1" x14ac:dyDescent="0.2">
      <c r="B14" s="25" t="s">
        <v>1398</v>
      </c>
      <c r="C14" s="99" t="s">
        <v>1403</v>
      </c>
      <c r="D14" s="99"/>
      <c r="E14" s="99"/>
      <c r="G14" s="19">
        <v>3</v>
      </c>
      <c r="H14" s="23" t="s">
        <v>1408</v>
      </c>
      <c r="I14" s="19" t="s">
        <v>1415</v>
      </c>
    </row>
    <row r="15" spans="2:9" ht="54.75" customHeight="1" x14ac:dyDescent="0.2">
      <c r="B15" s="25" t="s">
        <v>1399</v>
      </c>
      <c r="C15" s="99" t="s">
        <v>1404</v>
      </c>
      <c r="D15" s="99"/>
      <c r="E15" s="99"/>
      <c r="G15" s="19">
        <v>4</v>
      </c>
      <c r="H15" s="23" t="s">
        <v>1409</v>
      </c>
      <c r="I15" s="19" t="s">
        <v>1416</v>
      </c>
    </row>
    <row r="16" spans="2:9" ht="54.75" customHeight="1" x14ac:dyDescent="0.2">
      <c r="B16" s="25" t="s">
        <v>1400</v>
      </c>
      <c r="C16" s="99" t="s">
        <v>1405</v>
      </c>
      <c r="D16" s="99"/>
      <c r="E16" s="99"/>
      <c r="G16" s="19">
        <v>5</v>
      </c>
      <c r="H16" s="23" t="s">
        <v>1410</v>
      </c>
      <c r="I16" s="19" t="s">
        <v>1417</v>
      </c>
    </row>
    <row r="17" spans="2:10" ht="60" x14ac:dyDescent="0.2">
      <c r="G17" s="19">
        <v>6</v>
      </c>
      <c r="H17" s="23" t="s">
        <v>1411</v>
      </c>
      <c r="I17" s="19" t="s">
        <v>1418</v>
      </c>
    </row>
    <row r="18" spans="2:10" ht="12.75" customHeight="1" x14ac:dyDescent="0.2">
      <c r="B18" s="134" t="s">
        <v>58</v>
      </c>
      <c r="C18" s="135"/>
      <c r="D18" s="135"/>
      <c r="E18" s="135"/>
      <c r="G18" s="19">
        <v>7</v>
      </c>
      <c r="H18" s="23" t="s">
        <v>1412</v>
      </c>
      <c r="I18" s="19" t="s">
        <v>1419</v>
      </c>
    </row>
    <row r="19" spans="2:10" ht="15" x14ac:dyDescent="0.2">
      <c r="B19" s="4" t="s">
        <v>57</v>
      </c>
      <c r="C19" s="4" t="s">
        <v>56</v>
      </c>
      <c r="D19" s="4" t="s">
        <v>57</v>
      </c>
      <c r="E19" s="4" t="s">
        <v>56</v>
      </c>
      <c r="G19" s="19">
        <v>8</v>
      </c>
      <c r="H19" s="19"/>
      <c r="I19" s="19"/>
    </row>
    <row r="20" spans="2:10" ht="45" x14ac:dyDescent="0.2">
      <c r="B20" s="3" t="s">
        <v>9</v>
      </c>
      <c r="C20" s="23" t="s">
        <v>1420</v>
      </c>
      <c r="D20" s="25" t="s">
        <v>1428</v>
      </c>
      <c r="E20" s="86" t="s">
        <v>1913</v>
      </c>
      <c r="G20" s="19">
        <v>9</v>
      </c>
      <c r="H20" s="19"/>
      <c r="I20" s="19"/>
    </row>
    <row r="21" spans="2:10" ht="60" x14ac:dyDescent="0.2">
      <c r="B21" s="3" t="s">
        <v>28</v>
      </c>
      <c r="C21" s="23" t="s">
        <v>1421</v>
      </c>
      <c r="D21" s="25" t="s">
        <v>1429</v>
      </c>
      <c r="E21" s="23" t="s">
        <v>1436</v>
      </c>
      <c r="G21" s="19">
        <v>10</v>
      </c>
      <c r="H21" s="19"/>
      <c r="I21" s="19"/>
    </row>
    <row r="22" spans="2:10" ht="60" x14ac:dyDescent="0.2">
      <c r="B22" s="3" t="s">
        <v>27</v>
      </c>
      <c r="C22" s="23" t="s">
        <v>1422</v>
      </c>
      <c r="D22" s="25" t="s">
        <v>1430</v>
      </c>
      <c r="E22" s="23" t="s">
        <v>1437</v>
      </c>
      <c r="G22" s="18"/>
      <c r="H22" s="6"/>
      <c r="I22" s="6"/>
    </row>
    <row r="23" spans="2:10" ht="45" x14ac:dyDescent="0.2">
      <c r="B23" s="3" t="s">
        <v>55</v>
      </c>
      <c r="C23" s="23" t="s">
        <v>1423</v>
      </c>
      <c r="D23" s="25" t="s">
        <v>1431</v>
      </c>
      <c r="E23" s="26" t="s">
        <v>1438</v>
      </c>
      <c r="G23" s="18"/>
      <c r="H23" s="6"/>
      <c r="I23" s="6"/>
    </row>
    <row r="24" spans="2:10" ht="45" x14ac:dyDescent="0.2">
      <c r="B24" s="3" t="s">
        <v>24</v>
      </c>
      <c r="C24" s="23" t="s">
        <v>1424</v>
      </c>
      <c r="D24" s="25" t="s">
        <v>1432</v>
      </c>
      <c r="E24" s="26" t="s">
        <v>1439</v>
      </c>
      <c r="G24" s="18"/>
      <c r="H24" s="6"/>
      <c r="I24" s="6"/>
    </row>
    <row r="25" spans="2:10" ht="75" x14ac:dyDescent="0.2">
      <c r="B25" s="3" t="s">
        <v>26</v>
      </c>
      <c r="C25" s="23" t="s">
        <v>1425</v>
      </c>
      <c r="D25" s="25" t="s">
        <v>1433</v>
      </c>
      <c r="E25" s="23" t="s">
        <v>1440</v>
      </c>
      <c r="G25" s="6"/>
      <c r="H25" s="6"/>
      <c r="I25" s="6"/>
    </row>
    <row r="26" spans="2:10" ht="45" x14ac:dyDescent="0.2">
      <c r="B26" s="3" t="s">
        <v>25</v>
      </c>
      <c r="C26" s="23" t="s">
        <v>1426</v>
      </c>
      <c r="D26" s="25" t="s">
        <v>1434</v>
      </c>
      <c r="E26" s="23" t="s">
        <v>1441</v>
      </c>
      <c r="G26" s="6"/>
      <c r="H26" s="6"/>
      <c r="I26" s="6"/>
    </row>
    <row r="27" spans="2:10" ht="45" x14ac:dyDescent="0.2">
      <c r="B27" s="3" t="s">
        <v>5</v>
      </c>
      <c r="C27" s="23" t="s">
        <v>1427</v>
      </c>
      <c r="D27" s="25" t="s">
        <v>1435</v>
      </c>
      <c r="E27" s="23" t="s">
        <v>1442</v>
      </c>
      <c r="G27" s="6"/>
      <c r="H27" s="6"/>
      <c r="I27" s="6"/>
    </row>
    <row r="28" spans="2:10" ht="90" x14ac:dyDescent="0.2">
      <c r="B28" s="3" t="s">
        <v>23</v>
      </c>
      <c r="C28" s="86" t="s">
        <v>1914</v>
      </c>
      <c r="D28" s="6"/>
      <c r="E28" s="6"/>
      <c r="G28" s="6"/>
      <c r="H28" s="6"/>
      <c r="I28" s="6"/>
    </row>
    <row r="30" spans="2:10" ht="17" x14ac:dyDescent="0.2">
      <c r="B30" s="16" t="s">
        <v>54</v>
      </c>
      <c r="G30" s="16" t="s">
        <v>53</v>
      </c>
    </row>
    <row r="32" spans="2:10" ht="12.75" customHeight="1" x14ac:dyDescent="0.2">
      <c r="B32" s="98" t="s">
        <v>52</v>
      </c>
      <c r="C32" s="98"/>
      <c r="D32" s="98"/>
      <c r="E32" s="98"/>
      <c r="G32" s="98" t="s">
        <v>51</v>
      </c>
      <c r="H32" s="98"/>
      <c r="I32" s="98"/>
      <c r="J32" s="98"/>
    </row>
    <row r="33" spans="2:19" ht="60" customHeight="1" x14ac:dyDescent="0.2">
      <c r="B33" s="6" t="s">
        <v>50</v>
      </c>
      <c r="C33" s="99" t="s">
        <v>1443</v>
      </c>
      <c r="D33" s="99"/>
      <c r="E33" s="99"/>
      <c r="G33" s="6" t="s">
        <v>49</v>
      </c>
      <c r="H33" s="99"/>
      <c r="I33" s="99"/>
      <c r="J33" s="99"/>
    </row>
    <row r="34" spans="2:19" ht="65.5" customHeight="1" x14ac:dyDescent="0.2">
      <c r="B34" s="6" t="s">
        <v>48</v>
      </c>
      <c r="C34" s="148" t="s">
        <v>1915</v>
      </c>
      <c r="D34" s="99"/>
      <c r="E34" s="99"/>
      <c r="G34" s="6" t="s">
        <v>47</v>
      </c>
      <c r="H34" s="99"/>
      <c r="I34" s="99"/>
      <c r="J34" s="99"/>
    </row>
    <row r="35" spans="2:19" ht="53.5" customHeight="1" x14ac:dyDescent="0.2">
      <c r="B35" s="6" t="s">
        <v>46</v>
      </c>
      <c r="C35" s="100" t="s">
        <v>1444</v>
      </c>
      <c r="D35" s="100"/>
      <c r="E35" s="100"/>
      <c r="G35" s="6" t="s">
        <v>45</v>
      </c>
      <c r="H35" s="100"/>
      <c r="I35" s="100"/>
      <c r="J35" s="100"/>
    </row>
    <row r="36" spans="2:19" ht="67" customHeight="1" x14ac:dyDescent="0.2">
      <c r="B36" s="6" t="s">
        <v>44</v>
      </c>
      <c r="C36" s="115" t="s">
        <v>1912</v>
      </c>
      <c r="D36" s="101"/>
      <c r="E36" s="101"/>
      <c r="G36" s="6" t="s">
        <v>43</v>
      </c>
      <c r="H36" s="101"/>
      <c r="I36" s="101"/>
      <c r="J36" s="101"/>
    </row>
    <row r="37" spans="2:19" ht="67" customHeight="1" x14ac:dyDescent="0.2">
      <c r="C37" s="17"/>
      <c r="D37" s="17"/>
      <c r="E37" s="17"/>
      <c r="G37" s="6" t="s">
        <v>42</v>
      </c>
      <c r="H37" s="93"/>
      <c r="I37" s="94"/>
      <c r="J37" s="95"/>
    </row>
    <row r="39" spans="2:19" ht="68" x14ac:dyDescent="0.2">
      <c r="B39" s="16" t="s">
        <v>41</v>
      </c>
      <c r="L39" s="16" t="s">
        <v>40</v>
      </c>
      <c r="M39" s="1"/>
      <c r="N39" s="1"/>
      <c r="O39" s="1"/>
      <c r="P39" s="1"/>
      <c r="Q39" s="1"/>
      <c r="R39" s="1"/>
      <c r="S39" s="1"/>
    </row>
    <row r="40" spans="2:19" x14ac:dyDescent="0.2">
      <c r="L40" s="1"/>
      <c r="M40" s="1"/>
      <c r="N40" s="1"/>
      <c r="O40" s="1"/>
      <c r="P40" s="1"/>
      <c r="Q40" s="1"/>
      <c r="R40" s="1"/>
      <c r="S40" s="1"/>
    </row>
    <row r="41" spans="2:19" ht="30" x14ac:dyDescent="0.2">
      <c r="B41" s="15" t="s">
        <v>39</v>
      </c>
      <c r="C41" s="15" t="s">
        <v>38</v>
      </c>
      <c r="D41" s="15">
        <v>2</v>
      </c>
      <c r="E41" s="15">
        <v>3</v>
      </c>
      <c r="F41" s="15">
        <v>4</v>
      </c>
      <c r="G41" s="15">
        <v>5</v>
      </c>
      <c r="H41" s="15">
        <v>6</v>
      </c>
      <c r="I41" s="15">
        <v>7</v>
      </c>
      <c r="J41" s="15">
        <v>7</v>
      </c>
      <c r="L41" s="15" t="s">
        <v>39</v>
      </c>
      <c r="M41" s="15" t="s">
        <v>38</v>
      </c>
      <c r="N41" s="15">
        <v>2</v>
      </c>
      <c r="O41" s="15">
        <v>3</v>
      </c>
      <c r="P41" s="15">
        <v>4</v>
      </c>
      <c r="Q41" s="15">
        <v>5</v>
      </c>
      <c r="R41" s="15">
        <v>6</v>
      </c>
      <c r="S41" s="15">
        <v>7</v>
      </c>
    </row>
    <row r="42" spans="2:19" ht="123" customHeight="1" x14ac:dyDescent="0.2">
      <c r="B42" s="5" t="s">
        <v>37</v>
      </c>
      <c r="C42" s="5" t="s">
        <v>1445</v>
      </c>
      <c r="D42" s="5" t="s">
        <v>1446</v>
      </c>
      <c r="E42" s="5" t="s">
        <v>1447</v>
      </c>
      <c r="F42" s="5" t="s">
        <v>1448</v>
      </c>
      <c r="G42" s="5" t="s">
        <v>1449</v>
      </c>
      <c r="H42" s="5" t="s">
        <v>1450</v>
      </c>
      <c r="I42" s="5" t="s">
        <v>1451</v>
      </c>
      <c r="J42" s="5" t="s">
        <v>1452</v>
      </c>
      <c r="L42" s="5" t="s">
        <v>37</v>
      </c>
      <c r="M42" s="85" t="s">
        <v>1824</v>
      </c>
      <c r="N42" s="85" t="s">
        <v>1825</v>
      </c>
      <c r="O42" s="84" t="s">
        <v>1826</v>
      </c>
      <c r="P42" s="85" t="s">
        <v>1827</v>
      </c>
      <c r="Q42" s="85" t="s">
        <v>1828</v>
      </c>
      <c r="R42" s="85" t="s">
        <v>1829</v>
      </c>
      <c r="S42" s="85" t="s">
        <v>1830</v>
      </c>
    </row>
    <row r="43" spans="2:19" ht="210" x14ac:dyDescent="0.2">
      <c r="B43" s="13" t="s">
        <v>36</v>
      </c>
      <c r="C43" s="23" t="s">
        <v>1453</v>
      </c>
      <c r="D43" s="23" t="s">
        <v>1454</v>
      </c>
      <c r="E43" s="23" t="s">
        <v>1455</v>
      </c>
      <c r="F43" s="23" t="s">
        <v>1456</v>
      </c>
      <c r="G43" s="23" t="s">
        <v>1457</v>
      </c>
      <c r="H43" s="23" t="s">
        <v>1458</v>
      </c>
      <c r="I43" s="23" t="s">
        <v>1459</v>
      </c>
      <c r="J43" s="23" t="s">
        <v>1460</v>
      </c>
      <c r="L43" s="13" t="s">
        <v>36</v>
      </c>
      <c r="M43" s="6" t="s">
        <v>1831</v>
      </c>
      <c r="N43" s="6" t="s">
        <v>1832</v>
      </c>
      <c r="O43" s="6" t="s">
        <v>1833</v>
      </c>
      <c r="P43" s="6" t="s">
        <v>1834</v>
      </c>
      <c r="Q43" s="6" t="s">
        <v>1835</v>
      </c>
      <c r="R43" s="6" t="s">
        <v>1836</v>
      </c>
      <c r="S43" s="6" t="s">
        <v>1837</v>
      </c>
    </row>
    <row r="44" spans="2:19" ht="15" x14ac:dyDescent="0.2">
      <c r="B44" s="13" t="s">
        <v>9</v>
      </c>
      <c r="C44" s="26" t="s">
        <v>16</v>
      </c>
      <c r="D44" s="26" t="s">
        <v>16</v>
      </c>
      <c r="E44" s="23" t="s">
        <v>1461</v>
      </c>
      <c r="F44" s="26" t="s">
        <v>1462</v>
      </c>
      <c r="G44" s="26" t="s">
        <v>315</v>
      </c>
      <c r="H44" s="23" t="s">
        <v>1463</v>
      </c>
      <c r="I44" s="26" t="s">
        <v>315</v>
      </c>
      <c r="J44" s="26" t="s">
        <v>315</v>
      </c>
      <c r="L44" s="13" t="s">
        <v>9</v>
      </c>
      <c r="M44" s="6" t="s">
        <v>18</v>
      </c>
      <c r="N44" s="7" t="s">
        <v>315</v>
      </c>
      <c r="O44" s="6" t="s">
        <v>21</v>
      </c>
      <c r="P44" s="6" t="s">
        <v>16</v>
      </c>
      <c r="Q44" s="6" t="s">
        <v>21</v>
      </c>
      <c r="R44" s="6" t="s">
        <v>315</v>
      </c>
      <c r="S44" s="7" t="s">
        <v>18</v>
      </c>
    </row>
    <row r="45" spans="2:19" ht="15" x14ac:dyDescent="0.2">
      <c r="B45" s="13" t="s">
        <v>28</v>
      </c>
      <c r="C45" s="26" t="s">
        <v>142</v>
      </c>
      <c r="D45" s="23" t="s">
        <v>1464</v>
      </c>
      <c r="E45" s="26" t="s">
        <v>1330</v>
      </c>
      <c r="F45" s="26" t="s">
        <v>440</v>
      </c>
      <c r="G45" s="26" t="s">
        <v>18</v>
      </c>
      <c r="H45" s="26" t="s">
        <v>1465</v>
      </c>
      <c r="I45" s="26" t="s">
        <v>18</v>
      </c>
      <c r="J45" s="26" t="s">
        <v>18</v>
      </c>
      <c r="L45" s="13" t="s">
        <v>28</v>
      </c>
      <c r="M45" s="6" t="s">
        <v>18</v>
      </c>
      <c r="N45" s="8" t="s">
        <v>18</v>
      </c>
      <c r="O45" s="6" t="s">
        <v>179</v>
      </c>
      <c r="P45" s="6" t="s">
        <v>18</v>
      </c>
      <c r="Q45" s="7" t="s">
        <v>179</v>
      </c>
      <c r="R45" s="6" t="s">
        <v>18</v>
      </c>
      <c r="S45" s="6" t="s">
        <v>18</v>
      </c>
    </row>
    <row r="46" spans="2:19" ht="15" x14ac:dyDescent="0.2">
      <c r="B46" s="13" t="s">
        <v>35</v>
      </c>
      <c r="C46" s="26" t="s">
        <v>20</v>
      </c>
      <c r="D46" s="26" t="s">
        <v>16</v>
      </c>
      <c r="E46" s="26" t="s">
        <v>21</v>
      </c>
      <c r="F46" s="26" t="s">
        <v>20</v>
      </c>
      <c r="G46" s="26" t="s">
        <v>20</v>
      </c>
      <c r="H46" s="26" t="s">
        <v>16</v>
      </c>
      <c r="I46" s="26" t="s">
        <v>20</v>
      </c>
      <c r="J46" s="26" t="s">
        <v>16</v>
      </c>
      <c r="L46" s="13" t="s">
        <v>35</v>
      </c>
      <c r="M46" s="7" t="s">
        <v>20</v>
      </c>
      <c r="N46" s="6" t="s">
        <v>20</v>
      </c>
      <c r="O46" s="6" t="s">
        <v>20</v>
      </c>
      <c r="P46" s="6" t="s">
        <v>20</v>
      </c>
      <c r="Q46" s="6" t="s">
        <v>20</v>
      </c>
      <c r="R46" s="6" t="s">
        <v>20</v>
      </c>
      <c r="S46" s="6" t="s">
        <v>20</v>
      </c>
    </row>
    <row r="47" spans="2:19" ht="30" x14ac:dyDescent="0.2">
      <c r="B47" s="13" t="s">
        <v>26</v>
      </c>
      <c r="C47" s="26" t="s">
        <v>142</v>
      </c>
      <c r="D47" s="26" t="s">
        <v>140</v>
      </c>
      <c r="E47" s="26" t="s">
        <v>1373</v>
      </c>
      <c r="F47" s="26" t="s">
        <v>1512</v>
      </c>
      <c r="G47" s="26" t="s">
        <v>140</v>
      </c>
      <c r="H47" s="26" t="s">
        <v>696</v>
      </c>
      <c r="I47" s="26" t="s">
        <v>696</v>
      </c>
      <c r="J47" s="26" t="s">
        <v>140</v>
      </c>
      <c r="L47" s="13" t="s">
        <v>26</v>
      </c>
      <c r="M47" s="7" t="s">
        <v>1631</v>
      </c>
      <c r="N47" s="6" t="s">
        <v>140</v>
      </c>
      <c r="O47" s="6" t="s">
        <v>1631</v>
      </c>
      <c r="P47" s="6" t="s">
        <v>140</v>
      </c>
      <c r="Q47" s="6" t="s">
        <v>1631</v>
      </c>
      <c r="R47" s="7" t="s">
        <v>1631</v>
      </c>
      <c r="S47" s="6" t="s">
        <v>1631</v>
      </c>
    </row>
    <row r="48" spans="2:19" ht="15" x14ac:dyDescent="0.2">
      <c r="B48" s="13" t="s">
        <v>25</v>
      </c>
      <c r="C48" s="26" t="s">
        <v>142</v>
      </c>
      <c r="D48" s="26" t="s">
        <v>21</v>
      </c>
      <c r="E48" s="26" t="s">
        <v>661</v>
      </c>
      <c r="F48" s="26" t="s">
        <v>140</v>
      </c>
      <c r="G48" s="26" t="s">
        <v>21</v>
      </c>
      <c r="H48" s="26" t="s">
        <v>21</v>
      </c>
      <c r="I48" s="26" t="s">
        <v>21</v>
      </c>
      <c r="J48" s="26" t="s">
        <v>21</v>
      </c>
      <c r="L48" s="13" t="s">
        <v>25</v>
      </c>
      <c r="M48" s="7" t="s">
        <v>21</v>
      </c>
      <c r="N48" s="6" t="s">
        <v>21</v>
      </c>
      <c r="O48" s="6" t="s">
        <v>21</v>
      </c>
      <c r="P48" s="6" t="s">
        <v>21</v>
      </c>
      <c r="Q48" s="7" t="s">
        <v>21</v>
      </c>
      <c r="R48" s="6" t="s">
        <v>21</v>
      </c>
      <c r="S48" s="6" t="s">
        <v>21</v>
      </c>
    </row>
    <row r="49" spans="2:20" ht="30" x14ac:dyDescent="0.2">
      <c r="B49" s="13" t="s">
        <v>34</v>
      </c>
      <c r="C49" s="26" t="s">
        <v>142</v>
      </c>
      <c r="D49" s="26" t="s">
        <v>141</v>
      </c>
      <c r="E49" s="26" t="s">
        <v>1466</v>
      </c>
      <c r="F49" s="23" t="s">
        <v>973</v>
      </c>
      <c r="G49" s="26" t="s">
        <v>141</v>
      </c>
      <c r="H49" s="26" t="s">
        <v>141</v>
      </c>
      <c r="I49" s="26" t="s">
        <v>141</v>
      </c>
      <c r="J49" s="26" t="s">
        <v>141</v>
      </c>
      <c r="L49" s="13" t="s">
        <v>34</v>
      </c>
      <c r="M49" s="7" t="s">
        <v>141</v>
      </c>
      <c r="N49" s="6" t="s">
        <v>141</v>
      </c>
      <c r="O49" s="6" t="s">
        <v>141</v>
      </c>
      <c r="P49" s="6" t="s">
        <v>141</v>
      </c>
      <c r="Q49" s="7" t="s">
        <v>141</v>
      </c>
      <c r="R49" s="7" t="s">
        <v>141</v>
      </c>
      <c r="S49" s="6" t="s">
        <v>141</v>
      </c>
    </row>
    <row r="50" spans="2:20" ht="15" x14ac:dyDescent="0.2">
      <c r="B50" s="13" t="s">
        <v>5</v>
      </c>
      <c r="C50" s="26" t="s">
        <v>20</v>
      </c>
      <c r="D50" s="26" t="s">
        <v>20</v>
      </c>
      <c r="E50" s="26" t="s">
        <v>20</v>
      </c>
      <c r="F50" s="26" t="s">
        <v>20</v>
      </c>
      <c r="G50" s="26" t="s">
        <v>20</v>
      </c>
      <c r="H50" s="26" t="s">
        <v>20</v>
      </c>
      <c r="I50" s="26" t="s">
        <v>20</v>
      </c>
      <c r="J50" s="26" t="s">
        <v>20</v>
      </c>
      <c r="L50" s="13" t="s">
        <v>5</v>
      </c>
      <c r="M50" s="7" t="s">
        <v>20</v>
      </c>
      <c r="N50" s="6" t="s">
        <v>20</v>
      </c>
      <c r="O50" s="6" t="s">
        <v>20</v>
      </c>
      <c r="P50" s="6" t="s">
        <v>20</v>
      </c>
      <c r="Q50" s="6" t="s">
        <v>20</v>
      </c>
      <c r="R50" s="6" t="s">
        <v>20</v>
      </c>
      <c r="S50" s="6" t="s">
        <v>20</v>
      </c>
    </row>
    <row r="51" spans="2:20" ht="30" x14ac:dyDescent="0.2">
      <c r="B51" s="13" t="s">
        <v>23</v>
      </c>
      <c r="C51" s="26" t="s">
        <v>142</v>
      </c>
      <c r="D51" s="26" t="s">
        <v>142</v>
      </c>
      <c r="E51" s="26" t="s">
        <v>834</v>
      </c>
      <c r="F51" s="26" t="s">
        <v>142</v>
      </c>
      <c r="G51" s="26" t="s">
        <v>142</v>
      </c>
      <c r="H51" s="26" t="s">
        <v>20</v>
      </c>
      <c r="I51" s="26" t="s">
        <v>142</v>
      </c>
      <c r="J51" s="26" t="s">
        <v>142</v>
      </c>
      <c r="L51" s="13" t="s">
        <v>23</v>
      </c>
      <c r="M51" s="7" t="s">
        <v>20</v>
      </c>
      <c r="N51" s="6" t="s">
        <v>20</v>
      </c>
      <c r="O51" s="6" t="s">
        <v>20</v>
      </c>
      <c r="P51" s="6" t="s">
        <v>20</v>
      </c>
      <c r="Q51" s="7" t="s">
        <v>20</v>
      </c>
      <c r="R51" s="6" t="s">
        <v>20</v>
      </c>
      <c r="S51" s="7" t="s">
        <v>20</v>
      </c>
    </row>
    <row r="52" spans="2:20" ht="154.5" customHeight="1" x14ac:dyDescent="0.2">
      <c r="B52" s="13" t="s">
        <v>33</v>
      </c>
      <c r="C52" s="23" t="s">
        <v>1467</v>
      </c>
      <c r="D52" s="23" t="s">
        <v>1468</v>
      </c>
      <c r="E52" s="23" t="s">
        <v>1469</v>
      </c>
      <c r="F52" s="23" t="s">
        <v>1470</v>
      </c>
      <c r="G52" s="23" t="s">
        <v>1471</v>
      </c>
      <c r="H52" s="23" t="s">
        <v>1472</v>
      </c>
      <c r="I52" s="23" t="s">
        <v>1473</v>
      </c>
      <c r="J52" s="23" t="s">
        <v>1474</v>
      </c>
      <c r="L52" s="13" t="s">
        <v>33</v>
      </c>
      <c r="M52" s="6" t="s">
        <v>1838</v>
      </c>
      <c r="N52" s="6" t="s">
        <v>1839</v>
      </c>
      <c r="O52" s="6" t="s">
        <v>1840</v>
      </c>
      <c r="P52" s="6" t="s">
        <v>1841</v>
      </c>
      <c r="Q52" s="7" t="s">
        <v>1842</v>
      </c>
      <c r="R52" s="7" t="s">
        <v>1843</v>
      </c>
      <c r="S52" s="6" t="s">
        <v>1844</v>
      </c>
    </row>
    <row r="53" spans="2:20" ht="23.5" customHeight="1" x14ac:dyDescent="0.2">
      <c r="B53" s="12"/>
      <c r="G53" s="11"/>
      <c r="H53" s="11"/>
    </row>
    <row r="54" spans="2:20" ht="23.5" customHeight="1" x14ac:dyDescent="0.2">
      <c r="B54" s="12"/>
      <c r="G54" s="11"/>
      <c r="H54" s="11"/>
    </row>
    <row r="56" spans="2:20" ht="12.75" customHeight="1" x14ac:dyDescent="0.2">
      <c r="B56" s="96" t="s">
        <v>32</v>
      </c>
      <c r="C56" s="96"/>
      <c r="D56" s="96"/>
      <c r="E56" s="96"/>
      <c r="F56" s="96"/>
      <c r="G56" s="96"/>
      <c r="H56" s="96"/>
      <c r="I56" s="96"/>
      <c r="J56" s="96"/>
      <c r="L56" s="96" t="s">
        <v>31</v>
      </c>
      <c r="M56" s="96"/>
      <c r="N56" s="96"/>
      <c r="O56" s="96"/>
      <c r="P56" s="96"/>
      <c r="Q56" s="96"/>
      <c r="R56" s="96"/>
      <c r="S56" s="96"/>
      <c r="T56" s="96"/>
    </row>
    <row r="57" spans="2:20" ht="30" x14ac:dyDescent="0.2">
      <c r="B57" s="4" t="s">
        <v>10</v>
      </c>
      <c r="C57" s="4" t="s">
        <v>9</v>
      </c>
      <c r="D57" s="4" t="s">
        <v>28</v>
      </c>
      <c r="E57" s="4" t="s">
        <v>27</v>
      </c>
      <c r="F57" s="4" t="s">
        <v>26</v>
      </c>
      <c r="G57" s="4" t="s">
        <v>25</v>
      </c>
      <c r="H57" s="4" t="s">
        <v>24</v>
      </c>
      <c r="I57" s="4" t="s">
        <v>5</v>
      </c>
      <c r="J57" s="4" t="s">
        <v>23</v>
      </c>
      <c r="L57" s="4" t="s">
        <v>10</v>
      </c>
      <c r="M57" s="4" t="s">
        <v>9</v>
      </c>
      <c r="N57" s="4" t="s">
        <v>28</v>
      </c>
      <c r="O57" s="4" t="s">
        <v>27</v>
      </c>
      <c r="P57" s="4" t="s">
        <v>26</v>
      </c>
      <c r="Q57" s="4" t="s">
        <v>25</v>
      </c>
      <c r="R57" s="4" t="s">
        <v>24</v>
      </c>
      <c r="S57" s="4" t="s">
        <v>5</v>
      </c>
      <c r="T57" s="4" t="s">
        <v>23</v>
      </c>
    </row>
    <row r="58" spans="2:20" ht="45" x14ac:dyDescent="0.2">
      <c r="B58" s="25" t="s">
        <v>1475</v>
      </c>
      <c r="C58" s="26" t="s">
        <v>16</v>
      </c>
      <c r="D58" s="26" t="s">
        <v>142</v>
      </c>
      <c r="E58" s="26" t="s">
        <v>20</v>
      </c>
      <c r="F58" s="26" t="s">
        <v>142</v>
      </c>
      <c r="G58" s="26" t="s">
        <v>142</v>
      </c>
      <c r="H58" s="26" t="s">
        <v>142</v>
      </c>
      <c r="I58" s="26" t="s">
        <v>20</v>
      </c>
      <c r="J58" s="3" t="s">
        <v>834</v>
      </c>
      <c r="L58" s="3" t="s">
        <v>1845</v>
      </c>
      <c r="M58" s="3" t="s">
        <v>18</v>
      </c>
      <c r="N58" s="3" t="s">
        <v>18</v>
      </c>
      <c r="O58" s="3" t="s">
        <v>20</v>
      </c>
      <c r="P58" s="3" t="s">
        <v>1697</v>
      </c>
      <c r="Q58" s="3" t="s">
        <v>21</v>
      </c>
      <c r="R58" s="3" t="s">
        <v>141</v>
      </c>
      <c r="S58" s="3" t="s">
        <v>20</v>
      </c>
      <c r="T58" s="3" t="s">
        <v>20</v>
      </c>
    </row>
    <row r="59" spans="2:20" ht="45" x14ac:dyDescent="0.2">
      <c r="B59" s="25" t="s">
        <v>1476</v>
      </c>
      <c r="C59" s="26" t="s">
        <v>16</v>
      </c>
      <c r="D59" s="26" t="s">
        <v>440</v>
      </c>
      <c r="E59" s="26" t="s">
        <v>16</v>
      </c>
      <c r="F59" s="26" t="s">
        <v>140</v>
      </c>
      <c r="G59" s="26" t="s">
        <v>21</v>
      </c>
      <c r="H59" s="26" t="s">
        <v>141</v>
      </c>
      <c r="I59" s="26" t="s">
        <v>20</v>
      </c>
      <c r="J59" s="3" t="s">
        <v>20</v>
      </c>
      <c r="L59" s="3" t="s">
        <v>1846</v>
      </c>
      <c r="M59" s="3" t="s">
        <v>315</v>
      </c>
      <c r="N59" s="3" t="s">
        <v>18</v>
      </c>
      <c r="O59" s="3" t="s">
        <v>20</v>
      </c>
      <c r="P59" s="3" t="s">
        <v>140</v>
      </c>
      <c r="Q59" s="3" t="s">
        <v>21</v>
      </c>
      <c r="R59" s="3" t="s">
        <v>141</v>
      </c>
      <c r="S59" s="3" t="s">
        <v>20</v>
      </c>
      <c r="T59" s="3" t="s">
        <v>20</v>
      </c>
    </row>
    <row r="60" spans="2:20" ht="45" x14ac:dyDescent="0.2">
      <c r="B60" s="25" t="s">
        <v>1477</v>
      </c>
      <c r="C60" s="23" t="s">
        <v>1461</v>
      </c>
      <c r="D60" s="26" t="s">
        <v>1330</v>
      </c>
      <c r="E60" s="26" t="s">
        <v>21</v>
      </c>
      <c r="F60" s="26" t="s">
        <v>1373</v>
      </c>
      <c r="G60" s="26" t="s">
        <v>661</v>
      </c>
      <c r="H60" s="26" t="s">
        <v>833</v>
      </c>
      <c r="I60" s="26" t="s">
        <v>20</v>
      </c>
      <c r="J60" s="3" t="s">
        <v>834</v>
      </c>
      <c r="L60" s="3" t="s">
        <v>1642</v>
      </c>
      <c r="M60" s="3" t="s">
        <v>21</v>
      </c>
      <c r="N60" s="3" t="s">
        <v>179</v>
      </c>
      <c r="O60" s="3" t="s">
        <v>20</v>
      </c>
      <c r="P60" s="3" t="s">
        <v>1697</v>
      </c>
      <c r="Q60" s="3" t="s">
        <v>21</v>
      </c>
      <c r="R60" s="3" t="s">
        <v>141</v>
      </c>
      <c r="S60" s="3" t="s">
        <v>20</v>
      </c>
      <c r="T60" s="3" t="s">
        <v>20</v>
      </c>
    </row>
    <row r="61" spans="2:20" ht="45" x14ac:dyDescent="0.2">
      <c r="B61" s="25" t="s">
        <v>1478</v>
      </c>
      <c r="C61" s="26" t="s">
        <v>1462</v>
      </c>
      <c r="D61" s="26" t="s">
        <v>440</v>
      </c>
      <c r="E61" s="26" t="s">
        <v>20</v>
      </c>
      <c r="F61" s="26" t="s">
        <v>1512</v>
      </c>
      <c r="G61" s="26" t="s">
        <v>140</v>
      </c>
      <c r="H61" s="26" t="s">
        <v>16</v>
      </c>
      <c r="I61" s="26" t="s">
        <v>20</v>
      </c>
      <c r="J61" s="3" t="s">
        <v>142</v>
      </c>
      <c r="L61" s="3" t="s">
        <v>1847</v>
      </c>
      <c r="M61" s="3" t="s">
        <v>16</v>
      </c>
      <c r="N61" s="3" t="s">
        <v>18</v>
      </c>
      <c r="O61" s="3" t="s">
        <v>20</v>
      </c>
      <c r="P61" s="3" t="s">
        <v>140</v>
      </c>
      <c r="Q61" s="3" t="s">
        <v>21</v>
      </c>
      <c r="R61" s="3" t="s">
        <v>141</v>
      </c>
      <c r="S61" s="3" t="s">
        <v>20</v>
      </c>
      <c r="T61" s="3" t="s">
        <v>20</v>
      </c>
    </row>
    <row r="62" spans="2:20" ht="45" x14ac:dyDescent="0.2">
      <c r="B62" s="25" t="s">
        <v>1479</v>
      </c>
      <c r="C62" s="26" t="s">
        <v>315</v>
      </c>
      <c r="D62" s="26" t="s">
        <v>18</v>
      </c>
      <c r="E62" s="26" t="s">
        <v>20</v>
      </c>
      <c r="F62" s="26" t="s">
        <v>140</v>
      </c>
      <c r="G62" s="26" t="s">
        <v>21</v>
      </c>
      <c r="H62" s="26" t="s">
        <v>141</v>
      </c>
      <c r="I62" s="26" t="s">
        <v>20</v>
      </c>
      <c r="J62" s="3" t="s">
        <v>142</v>
      </c>
      <c r="L62" s="3" t="s">
        <v>1848</v>
      </c>
      <c r="M62" s="3" t="s">
        <v>21</v>
      </c>
      <c r="N62" s="3" t="s">
        <v>179</v>
      </c>
      <c r="O62" s="3" t="s">
        <v>20</v>
      </c>
      <c r="P62" s="3" t="s">
        <v>1697</v>
      </c>
      <c r="Q62" s="3" t="s">
        <v>21</v>
      </c>
      <c r="R62" s="3" t="s">
        <v>141</v>
      </c>
      <c r="S62" s="3" t="s">
        <v>20</v>
      </c>
      <c r="T62" s="3" t="s">
        <v>20</v>
      </c>
    </row>
    <row r="63" spans="2:20" ht="45" x14ac:dyDescent="0.2">
      <c r="B63" s="25" t="s">
        <v>1480</v>
      </c>
      <c r="C63" s="26" t="s">
        <v>18</v>
      </c>
      <c r="D63" s="26" t="s">
        <v>179</v>
      </c>
      <c r="E63" s="26" t="s">
        <v>16</v>
      </c>
      <c r="F63" s="26" t="s">
        <v>696</v>
      </c>
      <c r="G63" s="26" t="s">
        <v>21</v>
      </c>
      <c r="H63" s="26" t="s">
        <v>141</v>
      </c>
      <c r="I63" s="26" t="s">
        <v>20</v>
      </c>
      <c r="J63" s="3" t="s">
        <v>20</v>
      </c>
      <c r="L63" s="3" t="s">
        <v>1849</v>
      </c>
      <c r="M63" s="3" t="s">
        <v>315</v>
      </c>
      <c r="N63" s="3" t="s">
        <v>18</v>
      </c>
      <c r="O63" s="3" t="s">
        <v>20</v>
      </c>
      <c r="P63" s="3" t="s">
        <v>1697</v>
      </c>
      <c r="Q63" s="3" t="s">
        <v>21</v>
      </c>
      <c r="R63" s="3" t="s">
        <v>141</v>
      </c>
      <c r="S63" s="3" t="s">
        <v>20</v>
      </c>
      <c r="T63" s="3" t="s">
        <v>20</v>
      </c>
    </row>
    <row r="64" spans="2:20" ht="30" x14ac:dyDescent="0.2">
      <c r="B64" s="25" t="s">
        <v>1481</v>
      </c>
      <c r="C64" s="26" t="s">
        <v>315</v>
      </c>
      <c r="D64" s="26" t="s">
        <v>18</v>
      </c>
      <c r="E64" s="26" t="s">
        <v>20</v>
      </c>
      <c r="F64" s="26" t="s">
        <v>696</v>
      </c>
      <c r="G64" s="26" t="s">
        <v>21</v>
      </c>
      <c r="H64" s="26" t="s">
        <v>141</v>
      </c>
      <c r="I64" s="26" t="s">
        <v>20</v>
      </c>
      <c r="J64" s="3" t="s">
        <v>142</v>
      </c>
      <c r="L64" s="3" t="s">
        <v>1850</v>
      </c>
      <c r="M64" s="3" t="s">
        <v>18</v>
      </c>
      <c r="N64" s="3" t="s">
        <v>18</v>
      </c>
      <c r="O64" s="3" t="s">
        <v>20</v>
      </c>
      <c r="P64" s="3" t="s">
        <v>1697</v>
      </c>
      <c r="Q64" s="3" t="s">
        <v>21</v>
      </c>
      <c r="R64" s="3" t="s">
        <v>141</v>
      </c>
      <c r="S64" s="3" t="s">
        <v>20</v>
      </c>
      <c r="T64" s="3" t="s">
        <v>20</v>
      </c>
    </row>
    <row r="65" spans="2:20" ht="30" x14ac:dyDescent="0.2">
      <c r="B65" s="25" t="s">
        <v>1482</v>
      </c>
      <c r="C65" s="26" t="s">
        <v>315</v>
      </c>
      <c r="D65" s="26" t="s">
        <v>18</v>
      </c>
      <c r="E65" s="26" t="s">
        <v>16</v>
      </c>
      <c r="F65" s="26" t="s">
        <v>140</v>
      </c>
      <c r="G65" s="26" t="s">
        <v>21</v>
      </c>
      <c r="H65" s="26" t="s">
        <v>141</v>
      </c>
      <c r="I65" s="26" t="s">
        <v>20</v>
      </c>
      <c r="J65" s="3" t="s">
        <v>142</v>
      </c>
      <c r="L65" s="3"/>
      <c r="M65" s="3"/>
      <c r="N65" s="3"/>
      <c r="O65" s="3"/>
      <c r="P65" s="3"/>
      <c r="Q65" s="3"/>
      <c r="R65" s="3"/>
      <c r="S65" s="3"/>
      <c r="T65" s="3"/>
    </row>
    <row r="66" spans="2:20" x14ac:dyDescent="0.2">
      <c r="B66" s="3"/>
      <c r="C66" s="3"/>
      <c r="D66" s="3"/>
      <c r="E66" s="3"/>
      <c r="F66" s="3"/>
      <c r="G66" s="3"/>
      <c r="H66" s="3"/>
      <c r="I66" s="3"/>
      <c r="J66" s="3"/>
      <c r="L66" s="3"/>
      <c r="M66" s="3"/>
      <c r="N66" s="3"/>
      <c r="O66" s="3"/>
      <c r="P66" s="3"/>
      <c r="Q66" s="3"/>
      <c r="R66" s="3"/>
      <c r="S66" s="3"/>
      <c r="T66" s="3"/>
    </row>
    <row r="67" spans="2:20" x14ac:dyDescent="0.2">
      <c r="B67" s="3"/>
      <c r="C67" s="3"/>
      <c r="D67" s="3"/>
      <c r="E67" s="3"/>
      <c r="F67" s="3"/>
      <c r="G67" s="3"/>
      <c r="H67" s="3"/>
      <c r="I67" s="3"/>
      <c r="J67" s="3"/>
      <c r="L67" s="3"/>
      <c r="M67" s="3"/>
      <c r="N67" s="3"/>
      <c r="O67" s="3"/>
      <c r="P67" s="3"/>
      <c r="Q67" s="3"/>
      <c r="R67" s="3"/>
      <c r="S67" s="3"/>
      <c r="T67" s="3"/>
    </row>
    <row r="68" spans="2:20" x14ac:dyDescent="0.2">
      <c r="B68" s="10"/>
      <c r="C68" s="10"/>
      <c r="D68" s="10"/>
      <c r="E68" s="10"/>
      <c r="F68" s="10"/>
      <c r="G68" s="10"/>
      <c r="H68" s="10"/>
      <c r="I68" s="10"/>
      <c r="J68" s="10"/>
    </row>
    <row r="70" spans="2:20" ht="12.75" customHeight="1" x14ac:dyDescent="0.2">
      <c r="B70" s="96" t="s">
        <v>30</v>
      </c>
      <c r="C70" s="96"/>
      <c r="D70" s="96"/>
      <c r="E70" s="96"/>
      <c r="F70" s="96"/>
      <c r="G70" s="96"/>
      <c r="H70" s="96"/>
      <c r="I70" s="96"/>
      <c r="J70" s="96"/>
    </row>
    <row r="71" spans="2:20" ht="15" x14ac:dyDescent="0.2">
      <c r="B71" s="58" t="s">
        <v>29</v>
      </c>
      <c r="C71" s="58" t="s">
        <v>1483</v>
      </c>
      <c r="D71" s="58" t="s">
        <v>1484</v>
      </c>
      <c r="E71" s="58" t="s">
        <v>1485</v>
      </c>
      <c r="F71" s="58" t="s">
        <v>1486</v>
      </c>
      <c r="G71" s="58" t="s">
        <v>1487</v>
      </c>
      <c r="H71" s="58" t="s">
        <v>1488</v>
      </c>
      <c r="I71" s="58" t="s">
        <v>1489</v>
      </c>
      <c r="J71" s="4" t="s">
        <v>1510</v>
      </c>
    </row>
    <row r="72" spans="2:20" ht="30" x14ac:dyDescent="0.2">
      <c r="B72" s="25" t="s">
        <v>1490</v>
      </c>
      <c r="C72" s="23" t="s">
        <v>1491</v>
      </c>
      <c r="D72" s="26" t="s">
        <v>1492</v>
      </c>
      <c r="E72" s="23" t="s">
        <v>1493</v>
      </c>
      <c r="F72" s="23" t="s">
        <v>1494</v>
      </c>
      <c r="G72" s="26" t="s">
        <v>1495</v>
      </c>
      <c r="H72" s="26" t="s">
        <v>1496</v>
      </c>
      <c r="I72" s="23" t="s">
        <v>1497</v>
      </c>
      <c r="J72" s="3" t="s">
        <v>16</v>
      </c>
    </row>
    <row r="73" spans="2:20" ht="15" x14ac:dyDescent="0.2">
      <c r="B73" s="25" t="s">
        <v>1498</v>
      </c>
      <c r="C73" s="23" t="s">
        <v>1499</v>
      </c>
      <c r="D73" s="26" t="s">
        <v>1492</v>
      </c>
      <c r="E73" s="23" t="s">
        <v>1500</v>
      </c>
      <c r="F73" s="26" t="s">
        <v>1501</v>
      </c>
      <c r="G73" s="26" t="s">
        <v>1502</v>
      </c>
      <c r="H73" s="26" t="s">
        <v>1503</v>
      </c>
      <c r="I73" s="23" t="s">
        <v>1504</v>
      </c>
      <c r="J73" s="3" t="s">
        <v>16</v>
      </c>
    </row>
    <row r="74" spans="2:20" ht="30" x14ac:dyDescent="0.2">
      <c r="B74" s="25" t="s">
        <v>1505</v>
      </c>
      <c r="C74" s="23" t="s">
        <v>1506</v>
      </c>
      <c r="D74" s="23" t="s">
        <v>1507</v>
      </c>
      <c r="E74" s="26" t="s">
        <v>463</v>
      </c>
      <c r="F74" s="26" t="s">
        <v>1040</v>
      </c>
      <c r="G74" s="26" t="s">
        <v>1040</v>
      </c>
      <c r="H74" s="26" t="s">
        <v>1508</v>
      </c>
      <c r="I74" s="23" t="s">
        <v>1509</v>
      </c>
      <c r="J74" s="6"/>
    </row>
    <row r="75" spans="2:20" x14ac:dyDescent="0.2">
      <c r="B75" s="6"/>
      <c r="C75" s="7"/>
      <c r="D75" s="6"/>
      <c r="E75" s="6"/>
      <c r="F75" s="6"/>
      <c r="G75" s="6"/>
      <c r="H75" s="6"/>
      <c r="I75" s="6"/>
      <c r="J75" s="6"/>
    </row>
    <row r="76" spans="2:20" x14ac:dyDescent="0.2">
      <c r="B76" s="6"/>
      <c r="C76" s="9"/>
      <c r="D76" s="6"/>
      <c r="E76" s="6"/>
      <c r="F76" s="6"/>
      <c r="G76" s="6"/>
      <c r="H76" s="6"/>
      <c r="I76" s="6"/>
      <c r="J76" s="6"/>
    </row>
    <row r="77" spans="2:20" x14ac:dyDescent="0.2">
      <c r="B77" s="6"/>
      <c r="C77" s="8"/>
      <c r="D77" s="6"/>
      <c r="E77" s="6"/>
      <c r="F77" s="6"/>
      <c r="G77" s="6"/>
      <c r="H77" s="6"/>
      <c r="I77" s="6"/>
      <c r="J77" s="6"/>
    </row>
    <row r="78" spans="2:20" x14ac:dyDescent="0.2">
      <c r="B78" s="7"/>
      <c r="C78" s="7"/>
      <c r="D78" s="8"/>
      <c r="E78" s="7"/>
      <c r="F78" s="6"/>
      <c r="G78" s="6"/>
      <c r="H78" s="6"/>
      <c r="I78" s="6"/>
      <c r="J78" s="6"/>
    </row>
    <row r="79" spans="2:20" x14ac:dyDescent="0.2">
      <c r="B79" s="7"/>
      <c r="C79" s="8"/>
      <c r="D79" s="6"/>
      <c r="E79" s="6"/>
      <c r="F79" s="6"/>
      <c r="G79" s="6"/>
      <c r="H79" s="6"/>
      <c r="I79" s="6"/>
      <c r="J79" s="6"/>
    </row>
    <row r="80" spans="2:20" x14ac:dyDescent="0.2">
      <c r="B80" s="7"/>
      <c r="C80" s="7"/>
      <c r="D80" s="6"/>
      <c r="E80" s="6"/>
      <c r="F80" s="6"/>
      <c r="G80" s="6"/>
      <c r="H80" s="6"/>
      <c r="I80" s="6"/>
      <c r="J80" s="6"/>
    </row>
    <row r="82" spans="2:11" ht="12.75" customHeight="1" x14ac:dyDescent="0.2">
      <c r="B82" s="97" t="s">
        <v>15</v>
      </c>
      <c r="C82" s="97"/>
      <c r="D82" s="97"/>
      <c r="E82" s="97"/>
      <c r="F82" s="97"/>
      <c r="G82" s="97"/>
      <c r="H82" s="97"/>
    </row>
    <row r="83" spans="2:11" ht="13.75" customHeight="1" x14ac:dyDescent="0.2">
      <c r="B83" s="5" t="s">
        <v>10</v>
      </c>
      <c r="C83" s="5" t="s">
        <v>9</v>
      </c>
      <c r="D83" s="5" t="s">
        <v>14</v>
      </c>
      <c r="E83" s="5" t="s">
        <v>7</v>
      </c>
      <c r="F83" s="5" t="s">
        <v>13</v>
      </c>
      <c r="G83" s="5" t="s">
        <v>5</v>
      </c>
      <c r="H83" s="5" t="s">
        <v>12</v>
      </c>
      <c r="J83" s="91" t="s">
        <v>11</v>
      </c>
      <c r="K83" s="92"/>
    </row>
    <row r="84" spans="2:11" ht="13.75" customHeight="1" x14ac:dyDescent="0.2">
      <c r="B84" s="4" t="s">
        <v>10</v>
      </c>
      <c r="C84" s="4" t="s">
        <v>9</v>
      </c>
      <c r="D84" s="4" t="s">
        <v>8</v>
      </c>
      <c r="E84" s="4" t="s">
        <v>7</v>
      </c>
      <c r="F84" s="4" t="s">
        <v>6</v>
      </c>
      <c r="G84" s="4" t="s">
        <v>5</v>
      </c>
      <c r="H84" s="4" t="s">
        <v>4</v>
      </c>
      <c r="J84" s="91" t="s">
        <v>3</v>
      </c>
      <c r="K84" s="92"/>
    </row>
    <row r="85" spans="2:11" ht="13.75" customHeight="1" x14ac:dyDescent="0.2">
      <c r="B85" s="25" t="s">
        <v>1511</v>
      </c>
      <c r="C85" s="26">
        <v>3</v>
      </c>
      <c r="D85" s="26">
        <v>5</v>
      </c>
      <c r="E85" s="26">
        <v>4</v>
      </c>
      <c r="F85" s="26">
        <v>2</v>
      </c>
      <c r="G85" s="26">
        <v>4</v>
      </c>
      <c r="H85" s="2"/>
      <c r="J85" s="91" t="s">
        <v>2</v>
      </c>
      <c r="K85" s="92"/>
    </row>
    <row r="86" spans="2:11" ht="13.75" customHeight="1" x14ac:dyDescent="0.2">
      <c r="B86" s="25" t="s">
        <v>1481</v>
      </c>
      <c r="C86" s="26">
        <v>4</v>
      </c>
      <c r="D86" s="26">
        <v>5</v>
      </c>
      <c r="E86" s="26">
        <v>4</v>
      </c>
      <c r="F86" s="26">
        <v>3</v>
      </c>
      <c r="G86" s="26">
        <v>4</v>
      </c>
      <c r="H86" s="2"/>
      <c r="J86" s="91" t="s">
        <v>1</v>
      </c>
      <c r="K86" s="92"/>
    </row>
    <row r="87" spans="2:11" ht="30" x14ac:dyDescent="0.2">
      <c r="B87" s="25" t="s">
        <v>1482</v>
      </c>
      <c r="C87" s="26">
        <v>4</v>
      </c>
      <c r="D87" s="26">
        <v>5</v>
      </c>
      <c r="E87" s="26">
        <v>4</v>
      </c>
      <c r="F87" s="26">
        <v>4</v>
      </c>
      <c r="G87" s="26">
        <v>3</v>
      </c>
      <c r="H87" s="2"/>
      <c r="J87" s="92" t="s">
        <v>0</v>
      </c>
      <c r="K87" s="92"/>
    </row>
    <row r="88" spans="2:11" ht="30" x14ac:dyDescent="0.2">
      <c r="B88" s="25" t="s">
        <v>1479</v>
      </c>
      <c r="C88" s="26">
        <v>4</v>
      </c>
      <c r="D88" s="26">
        <v>4</v>
      </c>
      <c r="E88" s="26">
        <v>4</v>
      </c>
      <c r="F88" s="26">
        <v>4</v>
      </c>
      <c r="G88" s="26">
        <v>3</v>
      </c>
      <c r="H88" s="2"/>
    </row>
    <row r="89" spans="2:11" ht="15" x14ac:dyDescent="0.2">
      <c r="B89" s="25" t="s">
        <v>1476</v>
      </c>
      <c r="C89" s="26">
        <v>5</v>
      </c>
      <c r="D89" s="26">
        <v>4</v>
      </c>
      <c r="E89" s="26">
        <v>5</v>
      </c>
      <c r="F89" s="26">
        <v>4</v>
      </c>
      <c r="G89" s="26">
        <v>3</v>
      </c>
      <c r="H89" s="2"/>
    </row>
    <row r="90" spans="2:11" ht="30" x14ac:dyDescent="0.2">
      <c r="B90" s="25" t="s">
        <v>1477</v>
      </c>
      <c r="C90" s="26">
        <v>2</v>
      </c>
      <c r="D90" s="26">
        <v>3</v>
      </c>
      <c r="E90" s="26">
        <v>3</v>
      </c>
      <c r="F90" s="26">
        <v>3</v>
      </c>
      <c r="G90" s="26">
        <v>2</v>
      </c>
      <c r="H90" s="2"/>
    </row>
    <row r="91" spans="2:11" ht="15" x14ac:dyDescent="0.2">
      <c r="B91" s="25" t="s">
        <v>1478</v>
      </c>
      <c r="C91" s="26">
        <v>2</v>
      </c>
      <c r="D91" s="26">
        <v>3</v>
      </c>
      <c r="E91" s="26">
        <v>3</v>
      </c>
      <c r="F91" s="26">
        <v>3</v>
      </c>
      <c r="G91" s="26">
        <v>2</v>
      </c>
      <c r="H91" s="2"/>
    </row>
    <row r="92" spans="2:11" ht="20.75" customHeight="1" x14ac:dyDescent="0.2">
      <c r="B92" s="25" t="s">
        <v>1475</v>
      </c>
      <c r="C92" s="26">
        <v>3</v>
      </c>
      <c r="D92" s="26">
        <v>1</v>
      </c>
      <c r="E92" s="26">
        <v>4</v>
      </c>
      <c r="F92" s="26">
        <v>5</v>
      </c>
      <c r="G92" s="26">
        <v>2</v>
      </c>
      <c r="H92" s="2"/>
    </row>
    <row r="93" spans="2:11" ht="20.75" customHeight="1" x14ac:dyDescent="0.2">
      <c r="B93" s="3"/>
      <c r="C93" s="3"/>
      <c r="D93" s="3"/>
      <c r="E93" s="3"/>
      <c r="F93" s="3"/>
      <c r="G93" s="3"/>
      <c r="H93" s="2"/>
    </row>
    <row r="94" spans="2:11" ht="20.75" customHeight="1" x14ac:dyDescent="0.2">
      <c r="B94" s="3"/>
      <c r="C94" s="3"/>
      <c r="D94" s="3"/>
      <c r="E94" s="3"/>
      <c r="F94" s="3"/>
      <c r="G94" s="3"/>
      <c r="H94" s="2"/>
    </row>
    <row r="95" spans="2:11" ht="20.75" customHeight="1" x14ac:dyDescent="0.2"/>
    <row r="96" spans="2:11" ht="29.5" customHeight="1" x14ac:dyDescent="0.2"/>
    <row r="99" spans="1:14" ht="15" x14ac:dyDescent="0.2">
      <c r="A99" s="142" t="s">
        <v>1616</v>
      </c>
      <c r="B99" s="140"/>
      <c r="C99" s="140"/>
      <c r="D99" s="140"/>
      <c r="E99" s="140"/>
      <c r="F99" s="140"/>
      <c r="G99" s="140"/>
      <c r="H99" s="140"/>
      <c r="I99" s="140"/>
      <c r="J99" s="140"/>
      <c r="K99" s="140"/>
      <c r="L99" s="140"/>
      <c r="M99" s="140"/>
      <c r="N99" s="141"/>
    </row>
    <row r="100" spans="1:14" ht="15" x14ac:dyDescent="0.2">
      <c r="A100" s="139" t="s">
        <v>1610</v>
      </c>
      <c r="B100" s="140"/>
      <c r="C100" s="140"/>
      <c r="D100" s="140"/>
      <c r="E100" s="140"/>
      <c r="F100" s="140"/>
      <c r="G100" s="140"/>
      <c r="H100" s="140"/>
      <c r="I100" s="140"/>
      <c r="J100" s="140"/>
      <c r="K100" s="140"/>
      <c r="L100" s="140"/>
      <c r="M100" s="140"/>
      <c r="N100" s="141"/>
    </row>
    <row r="101" spans="1:14" ht="15" x14ac:dyDescent="0.2">
      <c r="A101" s="139" t="s">
        <v>1611</v>
      </c>
      <c r="B101" s="140"/>
      <c r="C101" s="140"/>
      <c r="D101" s="140"/>
      <c r="E101" s="140"/>
      <c r="F101" s="140"/>
      <c r="G101" s="140"/>
      <c r="H101" s="140"/>
      <c r="I101" s="140"/>
      <c r="J101" s="140"/>
      <c r="K101" s="140"/>
      <c r="L101" s="140"/>
      <c r="M101" s="140"/>
      <c r="N101" s="141"/>
    </row>
    <row r="102" spans="1:14" ht="15" x14ac:dyDescent="0.2">
      <c r="A102" s="139" t="s">
        <v>1612</v>
      </c>
      <c r="B102" s="140"/>
      <c r="C102" s="140"/>
      <c r="D102" s="140"/>
      <c r="E102" s="140"/>
      <c r="F102" s="140"/>
      <c r="G102" s="140"/>
      <c r="H102" s="140"/>
      <c r="I102" s="140"/>
      <c r="J102" s="140"/>
      <c r="K102" s="140"/>
      <c r="L102" s="140"/>
      <c r="M102" s="140"/>
      <c r="N102" s="141"/>
    </row>
    <row r="103" spans="1:14" ht="15" x14ac:dyDescent="0.2">
      <c r="A103" s="139" t="s">
        <v>1613</v>
      </c>
      <c r="B103" s="140"/>
      <c r="C103" s="140"/>
      <c r="D103" s="140"/>
      <c r="E103" s="140"/>
      <c r="F103" s="140"/>
      <c r="G103" s="140"/>
      <c r="H103" s="140"/>
      <c r="I103" s="140"/>
      <c r="J103" s="140"/>
      <c r="K103" s="140"/>
      <c r="L103" s="140"/>
      <c r="M103" s="140"/>
      <c r="N103" s="141"/>
    </row>
    <row r="104" spans="1:14" ht="15" x14ac:dyDescent="0.2">
      <c r="A104" s="139" t="s">
        <v>1614</v>
      </c>
      <c r="B104" s="140"/>
      <c r="C104" s="140"/>
      <c r="D104" s="140"/>
      <c r="E104" s="140"/>
      <c r="F104" s="140"/>
      <c r="G104" s="140"/>
      <c r="H104" s="140"/>
      <c r="I104" s="140"/>
      <c r="J104" s="140"/>
      <c r="K104" s="140"/>
      <c r="L104" s="140"/>
      <c r="M104" s="140"/>
      <c r="N104" s="141"/>
    </row>
  </sheetData>
  <mergeCells count="42">
    <mergeCell ref="C6:E6"/>
    <mergeCell ref="C7:E7"/>
    <mergeCell ref="B10:E10"/>
    <mergeCell ref="B1:E1"/>
    <mergeCell ref="C2:E2"/>
    <mergeCell ref="C3:E3"/>
    <mergeCell ref="C4:E4"/>
    <mergeCell ref="C5:E5"/>
    <mergeCell ref="G10:I10"/>
    <mergeCell ref="C11:E11"/>
    <mergeCell ref="C12:E12"/>
    <mergeCell ref="C14:E14"/>
    <mergeCell ref="C13:E13"/>
    <mergeCell ref="C15:E15"/>
    <mergeCell ref="C16:E16"/>
    <mergeCell ref="B18:E18"/>
    <mergeCell ref="B32:E32"/>
    <mergeCell ref="G32:J32"/>
    <mergeCell ref="C33:E33"/>
    <mergeCell ref="H33:J33"/>
    <mergeCell ref="L56:T56"/>
    <mergeCell ref="C34:E34"/>
    <mergeCell ref="H34:J34"/>
    <mergeCell ref="C35:E35"/>
    <mergeCell ref="H35:J35"/>
    <mergeCell ref="C36:E36"/>
    <mergeCell ref="H36:J36"/>
    <mergeCell ref="J84:K84"/>
    <mergeCell ref="J85:K85"/>
    <mergeCell ref="J86:K86"/>
    <mergeCell ref="J87:K87"/>
    <mergeCell ref="H37:J37"/>
    <mergeCell ref="B56:J56"/>
    <mergeCell ref="B70:J70"/>
    <mergeCell ref="B82:H82"/>
    <mergeCell ref="J83:K83"/>
    <mergeCell ref="A104:N104"/>
    <mergeCell ref="A99:N99"/>
    <mergeCell ref="A100:N100"/>
    <mergeCell ref="A101:N101"/>
    <mergeCell ref="A102:N102"/>
    <mergeCell ref="A103:N103"/>
  </mergeCells>
  <pageMargins left="0.7" right="0.7" top="0.75" bottom="0.75" header="0.3" footer="0.3"/>
  <pageSetup paperSize="9" orientation="landscape"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C48E-BA92-4876-AD3D-8F80E7FB3378}">
  <dimension ref="A1"/>
  <sheetViews>
    <sheetView workbookViewId="0"/>
  </sheetViews>
  <sheetFormatPr baseColWidth="10" defaultColWidth="9" defaultRowHeight="14" x14ac:dyDescent="0.2"/>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8D8D-62D5-4D69-B372-051E761D5DAF}">
  <dimension ref="A1"/>
  <sheetViews>
    <sheetView workbookViewId="0"/>
  </sheetViews>
  <sheetFormatPr baseColWidth="10" defaultColWidth="9" defaultRowHeight="14" x14ac:dyDescent="0.2"/>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2C467-0E2B-49F5-9EBD-783007972679}">
  <dimension ref="A1"/>
  <sheetViews>
    <sheetView topLeftCell="R1" workbookViewId="0"/>
  </sheetViews>
  <sheetFormatPr baseColWidth="10" defaultColWidth="9" defaultRowHeight="14" x14ac:dyDescent="0.2"/>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E7D3-04A1-4798-839B-14BFF23C5DF8}">
  <dimension ref="A1"/>
  <sheetViews>
    <sheetView workbookViewId="0"/>
  </sheetViews>
  <sheetFormatPr baseColWidth="10" defaultColWidth="9" defaultRowHeight="14"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Master Directory</vt:lpstr>
      <vt:lpstr>FIB-001</vt:lpstr>
      <vt:lpstr>FIB-002</vt:lpstr>
      <vt:lpstr>FIB-003</vt:lpstr>
      <vt:lpstr>FIB-004</vt:lpstr>
      <vt:lpstr>FIB-005</vt:lpstr>
      <vt:lpstr>FIB-006</vt:lpstr>
      <vt:lpstr>FIB-007</vt:lpstr>
      <vt:lpstr>FIB-008</vt:lpstr>
      <vt:lpstr>FIB-009</vt:lpstr>
      <vt:lpstr>FIB-010</vt:lpstr>
      <vt:lpstr>FIB-011</vt:lpstr>
      <vt:lpstr>Sheet-013</vt:lpstr>
      <vt:lpstr>FIB-014</vt:lpstr>
      <vt:lpstr>FIB-015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Vedang Balkrishna Karkare</dc:creator>
  <cp:lastModifiedBy>Trupti Anil Parate</cp:lastModifiedBy>
  <cp:lastPrinted>2026-07-29T17:15:47Z</cp:lastPrinted>
  <dcterms:created xsi:type="dcterms:W3CDTF">2026-07-13T21:31:03Z</dcterms:created>
  <dcterms:modified xsi:type="dcterms:W3CDTF">2026-07-30T15:21:09Z</dcterms:modified>
</cp:coreProperties>
</file>
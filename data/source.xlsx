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f765ccf0419d8252/Desktop/"/>
    </mc:Choice>
  </mc:AlternateContent>
  <xr:revisionPtr revIDLastSave="0" documentId="8_{A24B56FC-A35E-474E-915D-9A7F731B63C5}" xr6:coauthVersionLast="47" xr6:coauthVersionMax="47" xr10:uidLastSave="{00000000-0000-0000-0000-000000000000}"/>
  <bookViews>
    <workbookView xWindow="-108" yWindow="-108" windowWidth="23256" windowHeight="13896" tabRatio="500" firstSheet="14" activeTab="18" xr2:uid="{00000000-000D-0000-FFFF-FFFF00000000}"/>
  </bookViews>
  <sheets>
    <sheet name="Master Directory" sheetId="1" r:id="rId1"/>
    <sheet name="FIB-001" sheetId="2" r:id="rId2"/>
    <sheet name="FIB-002" sheetId="3" r:id="rId3"/>
    <sheet name="FIB-003" sheetId="4" r:id="rId4"/>
    <sheet name="FIB-004" sheetId="5" r:id="rId5"/>
    <sheet name="FIB-005" sheetId="6" r:id="rId6"/>
    <sheet name="FIB-006" sheetId="7" r:id="rId7"/>
    <sheet name="FIB-007" sheetId="8" r:id="rId8"/>
    <sheet name="FIB-008" sheetId="9" r:id="rId9"/>
    <sheet name="FIB-009" sheetId="10" r:id="rId10"/>
    <sheet name="FIB-010" sheetId="11" r:id="rId11"/>
    <sheet name="FIB-011" sheetId="12" r:id="rId12"/>
    <sheet name="FIB-012" sheetId="13" r:id="rId13"/>
    <sheet name="FIB-013" sheetId="14" r:id="rId14"/>
    <sheet name="FIB-014" sheetId="15" r:id="rId15"/>
    <sheet name="FIB-015" sheetId="16" r:id="rId16"/>
    <sheet name="FIB-016" sheetId="17" r:id="rId17"/>
    <sheet name="FIB-017" sheetId="18" r:id="rId18"/>
    <sheet name="FIB-018" sheetId="19" r:id="rId19"/>
    <sheet name="FIB-019" sheetId="20" r:id="rId20"/>
    <sheet name="FIB-020" sheetId="21" r:id="rId21"/>
    <sheet name="FIB-021" sheetId="22" r:id="rId2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4" i="22" l="1"/>
  <c r="H113" i="22"/>
  <c r="H112" i="22"/>
  <c r="H111" i="22"/>
  <c r="H110" i="22"/>
  <c r="H109" i="22"/>
  <c r="H114" i="21"/>
  <c r="H113" i="21"/>
  <c r="H112" i="21"/>
  <c r="H111" i="21"/>
  <c r="H110" i="21"/>
  <c r="H109" i="21"/>
  <c r="H111" i="20"/>
  <c r="H110" i="20"/>
  <c r="H109" i="20"/>
  <c r="H108" i="20"/>
  <c r="H107" i="20"/>
  <c r="H106" i="20"/>
  <c r="H117" i="19"/>
  <c r="H116" i="19"/>
  <c r="H115" i="19"/>
  <c r="H114" i="19"/>
  <c r="H113" i="19"/>
  <c r="H112" i="19"/>
  <c r="H111" i="19"/>
  <c r="H111" i="18"/>
  <c r="H110" i="18"/>
  <c r="H109" i="18"/>
  <c r="H108" i="18"/>
  <c r="H107" i="18"/>
  <c r="H106" i="18"/>
  <c r="H105" i="18"/>
  <c r="H104" i="18"/>
  <c r="H109" i="17"/>
  <c r="H108" i="17"/>
  <c r="H107" i="17"/>
  <c r="H106" i="17"/>
  <c r="H105" i="17"/>
  <c r="H104" i="17"/>
  <c r="H103" i="17"/>
  <c r="H102" i="17"/>
  <c r="H109" i="16"/>
  <c r="H108" i="16"/>
  <c r="H107" i="16"/>
  <c r="H106" i="16"/>
  <c r="H105" i="16"/>
  <c r="H104" i="16"/>
  <c r="H103" i="16"/>
  <c r="H102" i="16"/>
  <c r="H111" i="15"/>
  <c r="H110" i="15"/>
  <c r="H109" i="15"/>
  <c r="H108" i="15"/>
  <c r="H107" i="15"/>
  <c r="H106" i="15"/>
  <c r="H105" i="15"/>
  <c r="H104" i="15"/>
  <c r="H109" i="14"/>
  <c r="H108" i="14"/>
  <c r="H107" i="14"/>
  <c r="H106" i="14"/>
  <c r="H105" i="14"/>
  <c r="H104" i="14"/>
  <c r="H103" i="14"/>
  <c r="H102" i="14"/>
  <c r="H111" i="13"/>
  <c r="H110" i="13"/>
  <c r="H109" i="13"/>
  <c r="H108" i="13"/>
  <c r="H107" i="13"/>
  <c r="H106" i="13"/>
  <c r="H105" i="13"/>
  <c r="H104" i="13"/>
  <c r="H110" i="12"/>
  <c r="H109" i="12"/>
  <c r="H108" i="12"/>
  <c r="H107" i="12"/>
  <c r="H106" i="12"/>
  <c r="H105" i="12"/>
  <c r="H104" i="12"/>
  <c r="H103" i="12"/>
  <c r="H120" i="11"/>
  <c r="H119" i="11"/>
  <c r="H118" i="11"/>
  <c r="H117" i="11"/>
  <c r="H116" i="11"/>
  <c r="H115" i="11"/>
  <c r="H114" i="11"/>
  <c r="H113" i="11"/>
  <c r="H122" i="10"/>
  <c r="H121" i="10"/>
  <c r="H120" i="10"/>
  <c r="H119" i="10"/>
  <c r="H118" i="10"/>
  <c r="H117" i="10"/>
  <c r="H116" i="10"/>
  <c r="H115" i="10"/>
  <c r="H133" i="9"/>
  <c r="H132" i="9"/>
  <c r="H131" i="9"/>
  <c r="H130" i="9"/>
  <c r="H129" i="9"/>
  <c r="H128" i="9"/>
  <c r="H127" i="9"/>
  <c r="H126" i="9"/>
  <c r="H125" i="9"/>
  <c r="H124" i="9"/>
  <c r="H129" i="8"/>
  <c r="H128" i="8"/>
  <c r="H127" i="8"/>
  <c r="H126" i="8"/>
  <c r="H125" i="8"/>
  <c r="H124" i="8"/>
  <c r="H123" i="8"/>
  <c r="H122" i="8"/>
  <c r="H121" i="8"/>
  <c r="H120" i="8"/>
  <c r="H130" i="7"/>
  <c r="H129" i="7"/>
  <c r="H128" i="7"/>
  <c r="H127" i="7"/>
  <c r="H126" i="7"/>
  <c r="H125" i="7"/>
  <c r="H124" i="7"/>
  <c r="H123" i="7"/>
  <c r="H122" i="7"/>
  <c r="H118" i="6"/>
  <c r="H117" i="6"/>
  <c r="H116" i="6"/>
  <c r="H115" i="6"/>
  <c r="H114" i="6"/>
  <c r="H113" i="6"/>
  <c r="H112" i="6"/>
  <c r="H111" i="6"/>
  <c r="H110" i="6"/>
  <c r="H109" i="6"/>
  <c r="H121" i="5"/>
  <c r="H120" i="5"/>
  <c r="H119" i="5"/>
  <c r="H118" i="5"/>
  <c r="H117" i="5"/>
  <c r="H116" i="5"/>
  <c r="H115" i="5"/>
  <c r="H114" i="5"/>
  <c r="H122" i="4"/>
  <c r="H121" i="4"/>
  <c r="H120" i="4"/>
  <c r="H119" i="4"/>
  <c r="H118" i="4"/>
  <c r="H117" i="4"/>
  <c r="H116" i="4"/>
  <c r="H115" i="4"/>
  <c r="H131" i="3"/>
  <c r="H130" i="3"/>
  <c r="H129" i="3"/>
  <c r="H128" i="3"/>
  <c r="H127" i="3"/>
  <c r="H126" i="3"/>
  <c r="H125" i="3"/>
  <c r="H124" i="3"/>
  <c r="H123" i="3"/>
  <c r="H108" i="2"/>
  <c r="H107" i="2"/>
  <c r="H106" i="2"/>
  <c r="H105" i="2"/>
  <c r="H104" i="2"/>
  <c r="H103" i="2"/>
  <c r="H102" i="2"/>
</calcChain>
</file>

<file path=xl/sharedStrings.xml><?xml version="1.0" encoding="utf-8"?>
<sst xmlns="http://schemas.openxmlformats.org/spreadsheetml/2006/main" count="10563" uniqueCount="3537">
  <si>
    <t>Use Case ID</t>
  </si>
  <si>
    <t>Target Industry</t>
  </si>
  <si>
    <t>Scenario Name</t>
  </si>
  <si>
    <t>Primary Impacted Nodes</t>
  </si>
  <si>
    <t>Disruption Trigger</t>
  </si>
  <si>
    <t>Global Impact</t>
  </si>
  <si>
    <t>Reason to choose this case study</t>
  </si>
  <si>
    <t>Assignee</t>
  </si>
  <si>
    <t>Status</t>
  </si>
  <si>
    <t>FIB-001</t>
  </si>
  <si>
    <t>Radio Frequency Chips Manufacturing</t>
  </si>
  <si>
    <t>2000 lightning struck a power line near Albuquerque, New Mexico. The resulting power surge knocked out a Royal Philips Electronics semiconductor plant</t>
  </si>
  <si>
    <t xml:space="preserve">B2B Supply, Supplier, </t>
  </si>
  <si>
    <t>Philips Albuquerque fire and its divergent impact on Nokia and Ericsson</t>
  </si>
  <si>
    <t>• Nokia detected the problem in ~3 days, locked up spare capacity, and grew market share · • Ericsson waited weeks, lost ~$400M directly and ~$1.68–2.34B for the full year · • Ericsson exited standalone handsets (Sony Ericsson JV) · • Became the foundational supply chain resilience case worldwide</t>
  </si>
  <si>
    <t>• Same shock, opposite outcomes — proves resilience is built before a crisis, not during it · • Ericsson lost ~$400M in direct sales from a single 10-minute fire · • Nokia grew profits ~42% that year by acting in days · • The decisive lesson: first mover wins scarce capacity</t>
  </si>
  <si>
    <t>Vedang</t>
  </si>
  <si>
    <t>Completed</t>
  </si>
  <si>
    <t>FIB-002</t>
  </si>
  <si>
    <t>Textile Industry</t>
  </si>
  <si>
    <t xml:space="preserve">Rolled out item‑level RFID across stores and tightly coupled design‑to‑shelf cycles </t>
  </si>
  <si>
    <t>Stores, Distribution Centers, Manufactures, Planning, Design, Vendors</t>
  </si>
  <si>
    <t>Fast fashion needs near‑real‑time inventory accuracy and rapid replenishment.</t>
  </si>
  <si>
    <t>• Inventory accuracy lifted from ~65% to ~99% · • Design-to-store runs ~2–3 weeks vs 6–9 months industry norm · • Markdowns ~15–20% vs 30–40% industry average · • Inditex posted €38.6B sales (+7.5%) in FY2024 on a higher-cost proximity model · • Proved responsiveness can beat lowest-cost sourcing</t>
  </si>
  <si>
    <t>• RFID lifting accuracy from ~65% to ~99% unlocked AI demand planning · • Speed + data out-earns cheap-and-slow sourcing · • Real-world proof that digitising one weak link (data accuracy) transforms the whole chain · • Zara earns more margin than rivals on higher unit costs</t>
  </si>
  <si>
    <t>FIB-003</t>
  </si>
  <si>
    <t>Automotive / Energy (EVs + energy storage)</t>
  </si>
  <si>
    <t>Tesla, Inc. — Vertical integration + software-defined, AI-driven supply chain</t>
  </si>
  <si>
    <t>Raw Material, Battary Cells, Camponents, Gigafactries, Customer, Software, Charging, sell</t>
  </si>
  <si>
    <t>Tesla reverses the traditional outsource-by-default model — it OWNS the critical layers (batteries, software, silicon, charging, sales), controlling ~80% of its supply chain.</t>
  </si>
  <si>
    <t>• Proved deep vertical integration + software-defined manufacturing can outperform legacy OEMs · • During 2020–23 chip shortage Tesla rewrote firmware to swap chips and grew production ~83% while rivals cut output · • Industry lost ~$210B / ~7.7M units that year · • Tesla scaled to 1.85M vehicles (2023) · • Drove Gigacasting adoption across the industry</t>
  </si>
  <si>
    <t>• Controlling ~80% of the supply chain builds real resilience · • Tesla grew production ~83% in 2021 while GM, Ford and VW cut output · • A tech startup out-produced century-old automakers by owning software + batteries + sales · • Direct proof that software flexibility is a faster crisis tool than buffer stock</t>
  </si>
  <si>
    <t xml:space="preserve">Vedang </t>
  </si>
  <si>
    <t>FIB-004</t>
  </si>
  <si>
    <t>Aviation / Air Transport (Low-Cost Carrier)</t>
  </si>
  <si>
    <t>Ryanair — Ultra-low-cost service supply chain &amp; operations</t>
  </si>
  <si>
    <t>Aircraft/Engine Procurement, Fleet, Fuel, Airports/Ground Ops, Flight Ops, MRO, Distribution, Ancillary</t>
  </si>
  <si>
    <t>Boeing single-supplier dependency + fuel/ATC volatility in a razor-thin-margin service model</t>
  </si>
  <si>
    <t>• European reference model for the ultra-low-cost carrier · • FY2024 record net profit €1.92B on 184M passengers — most passengers of any European airline · • Operating margin ~11.2% vs Lufthansa Group ~3.9% (roughly 3× the legacy margin) · • Scaled Southwest's LCC playbook across a fragmented continent</t>
  </si>
  <si>
    <t>• A budget service supply chain out-earns premium rivals per unit · • ~11.2% operating margin vs Lufthansa ~3.9% — shows cost discipline beats premium pricing · • Fleet commonality, ~25-min turns, ~80% fuel hedging and ~34% ancillary revenue all work together · • Proves standardisation is itself a supply chain strategy</t>
  </si>
  <si>
    <t>FIB-005</t>
  </si>
  <si>
    <t>Logistics / Shipping</t>
  </si>
  <si>
    <t>Maersk — NotPetya cyberattack (2017) halted global container shipping operations</t>
  </si>
  <si>
    <t>IT Infrastructure, 76 Port Terminals, Booking/Tracking Platform, Ship Loading Systems, Internal Comms</t>
  </si>
  <si>
    <t>State-linked NotPetya wiper entered via a single infected Ukrainian tax software update; wiped all domain controllers and backups in hours</t>
  </si>
  <si>
    <t>• All 20% of global container trade handled by Maersk was disrupted · • ~$250–300M loss; 4,000 servers + 45,000 PCs + 2,500 apps rebuilt in 10 days · • Defined cyber risk as a supply chain risk, not just an IT risk · • The Ghana server — saved by a power cut — was the only thing preventing total collapse · • Set the standard for corporate cyber-incident transparency</t>
  </si>
  <si>
    <t>• A single software update from a tax vendor wiped a 130-country company in hours · • ~$250–300M loss from one infected computer in Ukraine · • The Ghana backup story shows why offline, air-gapped backups are non-negotiable · • First case to prove that a cyberattack on a logistics node is a global trade disruption event</t>
  </si>
  <si>
    <t>FIB-006</t>
  </si>
  <si>
    <t>Automotive Manufacturing</t>
  </si>
  <si>
    <t>Toyota — Great East Japan Earthquake / Fukushima (2011) and the RESCUE resilience programme</t>
  </si>
  <si>
    <t>Japan Assembly Plants, Tier-1 Suppliers, Sub-tier Suppliers, Semiconductors, Overseas Plants</t>
  </si>
  <si>
    <t>9.0 earthquake + tsunami devastated Tohoku region; Toyota had no visibility beyond Tier-1 suppliers</t>
  </si>
  <si>
    <t>• Toyota output fell 78% YoY in April 2011 · • Built the RESCUE sub-tier supplier database — assessment time cut from 2 weeks to half a day · • BCP mandated 2–6 months buffer for ~500 priority parts · • In 2021 chip shortage, Toyota maintained output while GM/VW/Ford cut production · • February 2021 Fukushima repeat earthquake had "significantly lower impact"</t>
  </si>
  <si>
    <t>• Shows modified JIT: resilience and efficiency are not opposites · • Assessment time cut 96% (2 weeks → half a day) through the RESCUE database · • Toyota's 2011 investment paid off in 2021 when rivals lost $210B in output · • Textbook case: decisive choices are made before the shock, not during it</t>
  </si>
  <si>
    <t>FIB-007</t>
  </si>
  <si>
    <t>Food / Quick Service Restaurant (QSR)</t>
  </si>
  <si>
    <t>KFC UK — 2018 chicken shortage: single distribution centre failure closed ~70% of stores</t>
  </si>
  <si>
    <t>DHL Rugby Depot, Road Network, Restaurants, Franchise Owners, Farmers (~500), Customers</t>
  </si>
  <si>
    <t>Switch from 6 Bidvest warehouses to 1 new DHL depot; M6 road accidents on day one blocked all outbound routes</t>
  </si>
  <si>
    <t>• 604 of 870 UK stores closed at peak (~70%) · • ~£1M/day revenue loss · • FCK apology campaign reached 797M+ audience; won Cannes Lions Grand Prix · • KFC's market share actually ROSE to 8.1% (2019) from 7.3% (2017) after the crisis · • Now the canonical case for logistics redundancy in food service</t>
  </si>
  <si>
    <t>• Six warehouses to one warehouse is not efficiency if it shuts 900 restaurants · • Shows false economy: DHL's lower bid cost multiples of the savings · • The FCK ad is the only documented case of a brand gaining market share after closing 70% of its stores · • Real-world proof that crisis communication can reverse supply chain brand damage</t>
  </si>
  <si>
    <t>FIB-008</t>
  </si>
  <si>
    <t>Automotive / Tire Manufacturing</t>
  </si>
  <si>
    <t>Firestone/Ford — ATX &amp; Wilderness AT tire recall (2000): tread separation, 271 US deaths, the TREAD Act</t>
  </si>
  <si>
    <t>Firestone Decatur Plant, Warranty/QC Systems, Ford Explorer Design, NHTSA, Consumers</t>
  </si>
  <si>
    <t>Firestone Decatur plant produced defective tires; both companies suppressed warranty data for ~4 years; media investigation forced action</t>
  </si>
  <si>
    <t>• 271 US deaths + 46 in Venezuela · • 6.5M initial recall + 13M extended recall · • 100-year Ford–Firestone relationship ended permanently · • TREAD Act 2000 — mandated early warning reporting + tyre pressure monitoring systems (TPMS) in all new US vehicles · • TPMS is now standard in every new passenger car in the world</t>
  </si>
  <si>
    <t>• 258 preventable deaths occurred AFTER 1996, when both companies already knew · • Firestone warranty data had the proof from 1996 — suppressing it killed people · • The Decatur plant had higher failure rates than sister plants — proves plant-level traceability is essential · • Directly created legislation (TREAD Act) that affects every car sold in the US today</t>
  </si>
  <si>
    <t>FIB-009</t>
  </si>
  <si>
    <t>1997 Aisin Seiki fire — Toyota's entire production network at risk; self-organised 200-firm recovery</t>
  </si>
  <si>
    <t>Aisin Kariya Plant, Toyota Assembly Plants (20), 200+ Supplier Network, Dealers</t>
  </si>
  <si>
    <t>Fire destroyed the only plant making Toyota's P-valve brake component; JIT left only ~2–3 days of stock</t>
  </si>
  <si>
    <t>• 200+ firms self-organised WITHOUT central direction to restore production in ~5 days · • 32,500 P-valves/day restored through improvised production across the network · • ~70,000 vehicles were at risk; ~$195M estimated Toyota loss · • Became the canonical academic case for network resilience (Nishiguchi &amp; Beaudet 1998, MIT SMR) · • Proved that trust and relational capital are measurable supply chain assets</t>
  </si>
  <si>
    <t>• Entire recovery coordinated only by fax and phone — no digital tools · • 200 competing companies shared machines, workers and knowledge to save the network · • Proves resilience is a network property, not a company property · • Direct contrast with Ericsson (FIB-001): same type of shock, but Ericsson had no network to absorb it</t>
  </si>
  <si>
    <t>FIB-010</t>
  </si>
  <si>
    <t>Electronics / Networking Equipment</t>
  </si>
  <si>
    <t>Cisco — $2.25B inventory write-down (2001): the definitive bullwhip effect case</t>
  </si>
  <si>
    <t>End Customers (Telecoms/Dot-coms), Cisco, Contract Manufacturers, Custom Component Suppliers, Cisco Warehouses</t>
  </si>
  <si>
    <t>Dot-com bubble burst; customers who had double-ordered and speculative-ordered cancelled all orders at once; Cisco had built $2.25B of custom inventory with zero resale value</t>
  </si>
  <si>
    <t>• $2.25B write-down — largest inventory write-down in history at the time · • $2.69B quarterly loss — first loss in 11+ years · • Stock fell from $82 to $13; 8,000+ jobs lost · • Cisco built the e-hub: shared real-time demand platform across all supply chain tiers · • CPFR (Collaborative Planning, Forecasting and Replenishment) adopted industry-wide</t>
  </si>
  <si>
    <t>• Bullwhip effect amplified tiny demand signals into $2.25B of worthless inventory · • Each supply chain tier added its own buffer on top of already-inflated forecasts · • Custom-built inventory meant 100% of excess had to be scrapped — no resale value · • The fix (e-hub, shared demand visibility) is now standard in every modern supply chain platform</t>
  </si>
  <si>
    <t>FIB-011</t>
  </si>
  <si>
    <t>Food &amp; Agriculture / Poultry / Consumer Staples</t>
  </si>
  <si>
    <t>Avian Influenza / US Egg Crisis (2015 &amp; 2022–2025) — HPAI biological shock: 50M birds culled (2015), 173M birds affected (2022–present), egg prices hit all-time high $6.23/dozen March 2025</t>
  </si>
  <si>
    <t>Commercial laying hen flocks (Iowa/Midwest), USDA-APHIS, Egg processing/distribution, Retail/foodservice, International import market (Türkiye/EU)</t>
  </si>
  <si>
    <t>H5N1/H5N2 HPAI enters commercial poultry flocks; mandatory culling eliminates entire flocks (100% mortality); no approved commercial vaccine due to US export market trade policy; wave 2 largest US animal disease outbreak in history</t>
  </si>
  <si>
    <t>• 173M birds affected in all 50 US states (2022–May 2025) · • Egg retail price all-time high $6.23/dozen March 2025 · • 230% egg price increase over 5 years · • USDA paid &gt;$500M in producer compensation 2023 alone · • 44 trading partners imposed US poultry trade restrictions · • H5N1 detected in dairy cattle March 2024 — novel host</t>
  </si>
  <si>
    <t>• Only structural fix (poultry vaccination) is blocked by export market trade policy — not biology · • Geographic concentration of egg production in the HPAI-endemic Midwest flyway creates recurring disruption · • 4–6 month flock recovery lag means no short-term supply response is possible · • Shows how a biological pathogen + policy constraint together create a supply chain vulnerability that technology or logistics alone cannot solve</t>
  </si>
  <si>
    <t>FIB-012</t>
  </si>
  <si>
    <t>Food &amp; Agriculture / Fresh Produce / Geopolitical Risk</t>
  </si>
  <si>
    <t>Avocado Supply Chain — Geopolitical Single-Source Risk: Mexico/Michoacán cartel extortion, USDA inspector assaults causing export suspension events (2016–2026)</t>
  </si>
  <si>
    <t>Michoacán avocado orchards (73% Mexico output), USDA APHIS inspection (critical export gate), Mexico export logistics, US importers/distributors, US retail and foodservice</t>
  </si>
  <si>
    <t>Cartel violence and threats against USDA phytosanitary inspectors in Michoacán cause immediate USDA inspection suspension, halting all Mexican avocado exports to US; occurred Feb 2022 (1-week halt), June 2024 (1-week halt, +40% carton price spike), August 2026</t>
  </si>
  <si>
    <t>• Mexico supplies ~80–90% of US avocados; Michoacán produces ~73% of Mexico output · • June 2024 halt: carton prices +40% in 1 week (RaboResearch) · • Average 4 truckloads stolen per day in Michoacán · • US per capita avocado consumption: 1.5 lbs (1990s) to 8–9 lbs (2023) — 5× increase creates demand that alternative origins cannot substitute · • Trump Jan 2025 FTO designation creates sanctions compliance risk for all US avocado importers</t>
  </si>
  <si>
    <t>• Most extreme geopolitical single-source food supply chain risk in the US: 90% import dependency + 73% from cartel-controlled territory + USDA inspection physically present in the zone · • Any cartel incident can halt ALL US avocado supply within hours · • No agricultural alternative can substitute at US consumption volumes · • Geopolitical, organised crime, climate and regulatory risks all concentrate simultaneously in one supply node</t>
  </si>
  <si>
    <t>FIB-013</t>
  </si>
  <si>
    <t>Luxury Goods / Mining / Gemstones</t>
  </si>
  <si>
    <t>De Beers Diamond Supply Chain — Artificial Scarcity by Design (1888–2026): supply chain monopoly engineered to create artificial scarcity; disrupted by lab-grown diamond technology</t>
  </si>
  <si>
    <t>Primary mines (Botswana/SA/Namibia/Russia/Canada), De Beers sight system (controlled distribution), Antwerp/Surat cutting centres, Jewellery manufacturing and retail, Lab-grown diamond production (disruptor)</t>
  </si>
  <si>
    <t>De Beers controlled 80–90% of global rough diamond supply (1888–late 1990s), engineered artificial scarcity by stockpiling excess and releasing controlled volumes; "A Diamond is Forever" (1947) manufactured demand to match controlled supply; lab-grown diamonds (CVD technology) eliminated the scarcity mechanism: 50% of US engagement rings lab-grown by 2023</t>
  </si>
  <si>
    <t>• Natural diamond wholesale benchmark (1-carat D-IF): ~$62,000 (1980) → ~$13,500 (2026) — 78% nominal decline · • Lab-grown equivalent: $500–$1,500 wholesale · • Surveys 2023: ~50% US engagement rings now lab-grown · • De Beers put up for sale by Anglo American 2024 · • Russia ALROSA (30% global rough supply) sanctioned 2022 — rough supply disrupted · • De Beers share of global supply: 90% (1990s) → 33% (now)</t>
  </si>
  <si>
    <t>• The INVERSE of every other case: De Beers engineered supply chain monopoly to CREATE artificial scarcity as a value-creation strategy — not a disruption to recover from · • Lab-grown diamonds eliminated the scarcity mechanism entirely — showing that supply chain monopoly collapses when technology removes the underlying scarcity · • 130-year monopoly disrupted not by a physical shock but by a manufacturing process (CVD) that made unlimited supply possible · • The only supply chain case where the disruptor won by making the product's scarcity physically impossible</t>
  </si>
  <si>
    <t>FIB-014</t>
  </si>
  <si>
    <t>Consumer Electronics / Smartphones / Battery Supply Chain</t>
  </si>
  <si>
    <t>Samsung Galaxy Note 7 Battery Fires and Recall (2016) — dual supplier failure: both primary (Samsung SDI) AND backup (ATL) batteries independently failed through different defect mechanisms; product discontinued</t>
  </si>
  <si>
    <t>Samsung SDI (primary battery — defective), ATL/Amperex (backup battery — also defective), Samsung Electronics (OEM/designer), Wireless carriers and retailers, Regulators (CPSC/FAA/EASA/airlines)</t>
  </si>
  <si>
    <t>Samsung launched Galaxy Note 7 August 2016 with battery cavity designed too small; Samsung SDI batteries failed (electrode short-circuit); Samsung replaced with ATL batteries (also defective via different mechanism); both primary AND backup suppliers independently failed for different reasons caused by the same chassis design constraint; product permanently discontinued October 2016</t>
  </si>
  <si>
    <t>• 3.1 million devices recalled and discontinued globally · • Total cost estimated $5.3 billion · • ~$17 billion market cap lost · • 26 US burn injuries; 55 property damage events including car fires · • Global airline ban — first from cabin, then from all checked luggage · • 96% global return rate achieved · • Both primary AND backup battery suppliers failed independently through different defects</t>
  </si>
  <si>
    <t>• A backup supplier is not automatically a safe supplier — ATL was not qualified under Note 7 specific chassis constraints before deployment as replacement · • The chassis design was too small for the desired battery capacity — both suppliers failed because of this design constraint, not supplier incompetence alone · • Competitive time pressure (rushing to beat iPhone 7) compressed the supplier qualification timeline that would have caught both defects · • Switching to a backup supplier without full independent chassis-constraint qualification is more dangerous than continuing with the identified primary defect</t>
  </si>
  <si>
    <t>FIB-015</t>
  </si>
  <si>
    <t>Chemicals / Petrochemicals / Industrial Manufacturing</t>
  </si>
  <si>
    <t>BASF Ludwigshafen Pipeline Explosion (October 2016) — industrial accident with effective BCP response: THE POSITIVE COUNTEREXAMPLE in supply chain disruption research</t>
  </si>
  <si>
    <t>Ludwigshafen Verbund complex (BASF HQ), Northern port terminal (destroyed), Rhine river logistics (primary feedstock), Alternative logistics (truck/rail BCP), Downstream chemical customers globally</t>
  </si>
  <si>
    <t>October 2016: pipeline explosion at northern port terminal during maintenance; 2 killed, 6 injured; terminal destroyed; Rhine river access disrupted; BASF immediately activated pre-existing BCP: logistics switched from river/pipeline to truck/rail; proactive customer communication; business interruption insurance activated. Impact SMALLER THAN EXPECTED.</t>
  </si>
  <si>
    <t>• BASF had pre-existing BCP with globally valid guidelines and capacity/security training for staff · • Logistics immediately shifted from Rhine ships to trucks and trains · • Active customer communication maintained supply confidence throughout · • Financial impact smaller than expected — the defining outcome · • 2 workers killed — the primary human lesson remains worker safety in hazardous maintenance environments · • Verbund model (2,850 km internal pipelines) creates specific cascade risk that makes site-level BCP essential</t>
  </si>
  <si>
    <t>• The gap between explosion and catastrophe is entirely determined by the quality of preparation that precedes it — BASF had BCP; all other disruption cases in this register did not · • Active customer communication during disruption limits commercial impact more than any operational measure · • Business interruption insurance is non-negotiable for large industrial sites · • The positive lesson: invest in BCP before the shock and the shock becomes a manageable incident, not a supply chain crisis</t>
  </si>
  <si>
    <t>FIB-016</t>
  </si>
  <si>
    <t>Consumer Electronics / Smartphones / Display and Sensor Supply Chain</t>
  </si>
  <si>
    <t>iPhone X Component Shortage — OLED and Face ID (2017): dual new-technology supply ramp failure; sole OLED supplier was Apple's primary competitor Samsung Display</t>
  </si>
  <si>
    <t>Samsung Display (sole OLED supplier — Apple's competitor), TrueDepth/Face ID sensor supply chain, Apple/Foxconn assembly, Apple retail and carrier distribution, Samsung Galaxy competitors (unconstrained supply)</t>
  </si>
  <si>
    <t>Apple chose OLED display (sole supplier: Samsung Display — a competitor) AND Face ID sensors (never before manufactured at scale) simultaneously for iPhone X; Face ID sensor yield constraints held production to ~10,000 units/day vs normal 50,000+; 5–6 week customer lead times at launch; estimated 6–8M units missed holiday quarter sales; iOS market share dipped as Samsung Galaxy gained</t>
  </si>
  <si>
    <t>• Initial iPhone X production: ~10,000 units/day vs normal iPhone launch capacity of 50,000+/day · • Estimated 20–35M units delivered end 2017 vs ~40–50M demand · • 5–6 week customer lead time vs normal 2–3 days · • iOS market share loss during holiday quarter 2017 · • Sole OLED supplier was Samsung Display — Apple's primary smartphone competitor · • OLED issues resolved July 2017; Face ID sensor yield constraints persisted through late September 2017</t>
  </si>
  <si>
    <t>• Introducing two unproven supply-chain-intensive technologies simultaneously in one flagship product compounds supply risk — if either fails, both constrain total production · • A sole-supplier who is also your primary competitor is the most dangerous supply chain position: Samsung could see Apple's production limitations in real time through their shared supplier relationship · • Product launch dates should follow supply readiness, not precede it · • Alternative supplier qualification (LG Display) should begin 24 months before launch, not after the constraint is demonstrated</t>
  </si>
  <si>
    <t>FIB-017</t>
  </si>
  <si>
    <t>Pharmaceuticals / Healthcare / NHS Supply Chain</t>
  </si>
  <si>
    <t>UK Medicine Stockpiling — Brexit Preparation (2019): regulatory membership as supply chain infrastructure — acute crisis prevented, structural long-term damage accumulating (ongoing)</t>
  </si>
  <si>
    <t>EU pharmaceutical manufacturers (primary source), API manufacturers (China/India — 60–80% global), UK wholesale distributors, NHS pharmacies/hospitals/GPs, DHSC/MHRA (UK government/regulator)</t>
  </si>
  <si>
    <t>UK EU exit threatened to convert frictionless EU medicine supply (37M packs/month via Dover–Calais, 1–2 hours) into a customs border; DHSC mandated 6-week additional buffer stock across NHS supply chain; companies including GSK, Sanofi, Novartis, AstraZeneca built buffers; acute crisis avoided at Brexit (January 2021); long-term: NHS paying £220M/year extra; shortage notifications rose 10×</t>
  </si>
  <si>
    <t>• Acute crisis PREVENTED — 6-week stockpile mandate worked as intended for the transition period · • Long-term structural: NHS England +£220M/year extra medicine procurement (Sept 2022–Sept 2023) · • MHRA shortage notifications: 20/month (pre-Brexit) → 199/month (late 2022) — 10× increase · • GSK: £70M Brexit costs over 2–3 years + £50M/year ongoing · • Community pharmacies: £37M/year extra staff time managing shortages · • 60% increase in EU shortage notifications 2019–2023 (EMA)</t>
  </si>
  <si>
    <t>• Regulatory membership is supply chain infrastructure — the EU single market eliminated pharmaceutical supply chain friction that cannot be rebuilt once lost · • The 2019 stockpile was a successful short-term BCP — it prevented the acute crisis; but BCP cannot substitute for lost structural supply chain resilience · • Long-term cost (£220M/year extra, 10× more shortage notifications) is the permanent price of losing 50 years of frictionless EU pharmaceutical supply chain integration · • Political decisions (Brexit) have permanent supply chain consequences that accumulate over years, not days</t>
  </si>
  <si>
    <t>Description</t>
  </si>
  <si>
    <t>Use case ID</t>
  </si>
  <si>
    <t>Use case Name</t>
  </si>
  <si>
    <t>Philips Albuquerque RF-Chip Fire (2000) — Nokia vs. Ericsson</t>
  </si>
  <si>
    <t>Industry Verticle</t>
  </si>
  <si>
    <t>Electronics &amp; Semiconductors; Telecom / Mobile Handsets</t>
  </si>
  <si>
    <t>Brand &amp; Group</t>
  </si>
  <si>
    <t>Supplier: Royal Philips Electronics (Fab 22). Customers: Nokia &amp; Ericsson.</t>
  </si>
  <si>
    <t>Nature Of Usecase</t>
  </si>
  <si>
    <t>Disruption</t>
  </si>
  <si>
    <t>Scale</t>
  </si>
  <si>
    <t>Plant served ~30 customers; Nokia &amp; Ericsson together ~40% of output. In 2000 Nokia was #1 handset maker (~30.6% share), Ericsson #3 (~9.7%).</t>
  </si>
  <si>
    <t>Normal State</t>
  </si>
  <si>
    <t>Baseline Operations (Normal Flow)</t>
  </si>
  <si>
    <t>Node 1 – Supplier (Philips)</t>
  </si>
  <si>
    <t>Royal Philips RF/ASIC chip fab (Fab 22), Albuquerque, New Mexico; single/critical source for handset RF chips.</t>
  </si>
  <si>
    <t>Node 2 – Manufacturer (Nokia &amp; Ericsson)</t>
  </si>
  <si>
    <t>Nordic handset OEMs integrating Philips RF chips into mobile phones; lean/JIT inbound, low buffers.</t>
  </si>
  <si>
    <t>Node 3 – Logistics &amp; Export</t>
  </si>
  <si>
    <t>Chips shipped from New Mexico to European/Asian assembly; near-JIT, minimal safety stock.</t>
  </si>
  <si>
    <t>Node 4 – Customers</t>
  </si>
  <si>
    <t>Mobile operators, retailers and consumers in the booming 2000 GSM market; short product cycles.</t>
  </si>
  <si>
    <t>Normal Flow</t>
  </si>
  <si>
    <t>Step</t>
  </si>
  <si>
    <t>Process</t>
  </si>
  <si>
    <t>Node</t>
  </si>
  <si>
    <t>Philips fabricates RF/ASIC chips in clean-room lines</t>
  </si>
  <si>
    <t>Supplier</t>
  </si>
  <si>
    <t>Chips shipped to Nokia &amp; Ericsson (lean/JIT inbound)</t>
  </si>
  <si>
    <t>Logistics</t>
  </si>
  <si>
    <t>Handset assembly integrates chips into phones</t>
  </si>
  <si>
    <t>Manufacturer</t>
  </si>
  <si>
    <t>Phones distributed via operators/retailers to consumers</t>
  </si>
  <si>
    <t>Customer</t>
  </si>
  <si>
    <t>Normal KPI Conditions</t>
  </si>
  <si>
    <t>KPI</t>
  </si>
  <si>
    <t>Value</t>
  </si>
  <si>
    <t>Cost</t>
  </si>
  <si>
    <t>High-value, high-margin custom RF/ASIC chips; Philips' own loss from the fire ~$40M.</t>
  </si>
  <si>
    <t>Lead Time</t>
  </si>
  <si>
    <t>Weeks (semiconductor cycle); lean/JIT inbound, no buffer; Ericsson single-sourced.</t>
  </si>
  <si>
    <t>CO₂ Impact</t>
  </si>
  <si>
    <t>High (semiconductor fabrication energy/water intensive) – industry norm, not case data.</t>
  </si>
  <si>
    <t>Waste</t>
  </si>
  <si>
    <t>Clean-room dependency: any contamination = total stock loss (as the fire showed).</t>
  </si>
  <si>
    <t>Customer Satisfaction</t>
  </si>
  <si>
    <t>High pre-fire (reliable, trusted primary source).</t>
  </si>
  <si>
    <t>Risk</t>
  </si>
  <si>
    <t>HIGH but unrecognised: single-plant concentration, single-sourcing, no contingency, slow escalation.</t>
  </si>
  <si>
    <t>Quality</t>
  </si>
  <si>
    <t>Very high (clean-room ~1 particle/m3; custom ASIC, no drop-in substitute).</t>
  </si>
  <si>
    <t>Sustainability</t>
  </si>
  <si>
    <t>Not tracked for a 2000 semiconductor fab.</t>
  </si>
  <si>
    <t>Circular Economy</t>
  </si>
  <si>
    <t>Low (minimal chip reuse/recycling in 2000).</t>
  </si>
  <si>
    <t>Disruption State 1</t>
  </si>
  <si>
    <t>Disruption details</t>
  </si>
  <si>
    <t>Trigger event</t>
  </si>
  <si>
    <t>17 Mar 2000: lightning strike/power surge ignited a fire in a Philips Albuquerque clean room; extinguished in ~10 min.</t>
  </si>
  <si>
    <t>Root cause details</t>
  </si>
  <si>
    <t>Smoke/soot/water contaminated the clean room, destroying almost the entire RF-chip stock. Customer-side: Ericsson single-sourcing, lean/JIT, single-plant concentration, slow escalation. Philips first estimated ~1 week recovery; actual recovery took months.</t>
  </si>
  <si>
    <t>Affected nodes</t>
  </si>
  <si>
    <t>Supplier (Philips: production halted, stock lost); Manufacturer (Nokia &amp; Ericsson chip supply cut; Ericsson ~7M-phone shortfall); Logistics (inbound severed); Customer (delayed shipments, T36 launch delay).</t>
  </si>
  <si>
    <t>Effect on Supply chain</t>
  </si>
  <si>
    <t>Nokia: minor delays (early detection + re-sourcing). Ericsson: ~$400M direct loss, ~7M-phone shortfall, lost market share, exit from standalone handsets (Sony Ericsson JV, Oct 2001). Philips: ~$40M loss; plant closed 2003.</t>
  </si>
  <si>
    <t>Decision Analysis by the Company</t>
  </si>
  <si>
    <t>Decision No</t>
  </si>
  <si>
    <t xml:space="preserve">1
</t>
  </si>
  <si>
    <t>Escalate + priority (Nokia)</t>
  </si>
  <si>
    <t>Engineers on-site (Nokia)</t>
  </si>
  <si>
    <t>Alternate Plants</t>
  </si>
  <si>
    <t xml:space="preserve">Re-engineer / multi-source </t>
  </si>
  <si>
    <t>Lock up global capacity (Nokia)</t>
  </si>
  <si>
    <t>Wait-and-see</t>
  </si>
  <si>
    <t>Scale own mfg</t>
  </si>
  <si>
    <t>Insurance / BI claim</t>
  </si>
  <si>
    <t xml:space="preserve">Institutionalise SCRM </t>
  </si>
  <si>
    <t xml:space="preserve">Restructure / JV </t>
  </si>
  <si>
    <t>Action</t>
  </si>
  <si>
    <t>Watch supplier, daily updates, CEO-level</t>
  </si>
  <si>
    <t>Deploy staff to speed supplier restart</t>
  </si>
  <si>
    <t>Reschedule Philips' other fabs</t>
  </si>
  <si>
    <t>Redesign to accept US/Japanese chips</t>
  </si>
  <si>
    <t>Contract spare market capacity first</t>
  </si>
  <si>
    <t>Accept Philips' 1-wk estimate; no mitigation</t>
  </si>
  <si>
    <t>Ramp Sweden production</t>
  </si>
  <si>
    <t>Recover losses via insurance</t>
  </si>
  <si>
    <t>Supplier BCP, sub-tier mapping, monitoring</t>
  </si>
  <si>
    <t>Outsource (Flextronics), Sony Ericsson JV</t>
  </si>
  <si>
    <t>Low</t>
  </si>
  <si>
    <t>Low- Medium</t>
  </si>
  <si>
    <t>Medium</t>
  </si>
  <si>
    <t>Medium-High</t>
  </si>
  <si>
    <t>High</t>
  </si>
  <si>
    <t>Very High</t>
  </si>
  <si>
    <t>Improved</t>
  </si>
  <si>
    <t>Very Poor</t>
  </si>
  <si>
    <t>Slow</t>
  </si>
  <si>
    <t>n/a</t>
  </si>
  <si>
    <t>Long</t>
  </si>
  <si>
    <t>Long-term</t>
  </si>
  <si>
    <t>CO2 Impact</t>
  </si>
  <si>
    <t>Neutral</t>
  </si>
  <si>
    <t>Reduced</t>
  </si>
  <si>
    <t>Financial Only</t>
  </si>
  <si>
    <t>Structirally Redcued</t>
  </si>
  <si>
    <t>Maintained</t>
  </si>
  <si>
    <t>Uncertain/Low</t>
  </si>
  <si>
    <t>Customer satisfaction</t>
  </si>
  <si>
    <t>Protected</t>
  </si>
  <si>
    <t>Very Low</t>
  </si>
  <si>
    <t>Not Helped</t>
  </si>
  <si>
    <t>Recover</t>
  </si>
  <si>
    <t>Best when</t>
  </si>
  <si>
    <t>Buyer leverage + early detection</t>
  </si>
  <si>
    <t>Bottelneck is supplier recovery</t>
  </si>
  <si>
    <t>Supplier multi-site &amp; prioritises you</t>
  </si>
  <si>
    <t>Design modularity + qualified alts</t>
  </si>
  <si>
    <t>Move first + capital</t>
  </si>
  <si>
    <t>Only if outage short + buffers exist</t>
  </si>
  <si>
    <t>Latent capacity + time</t>
  </si>
  <si>
    <t>Pair with operational fix</t>
  </si>
  <si>
    <t>After shock exposes fragility</t>
  </si>
  <si>
    <t>Structural fragility needs structural fix</t>
  </si>
  <si>
    <t>Decisions Impact Summary - Decision Anslysis by The Company</t>
  </si>
  <si>
    <t>Decision</t>
  </si>
  <si>
    <t>Med</t>
  </si>
  <si>
    <t>Slt.Neg</t>
  </si>
  <si>
    <t>Med-High</t>
  </si>
  <si>
    <t>Best</t>
  </si>
  <si>
    <t>Very High (real)</t>
  </si>
  <si>
    <t>Uncertain</t>
  </si>
  <si>
    <t>Struct.Reduced</t>
  </si>
  <si>
    <t>Recovers</t>
  </si>
  <si>
    <t>Recommended Decisions</t>
  </si>
  <si>
    <t>Real-time supplier health dashboard</t>
  </si>
  <si>
    <t>Mandatory dual-sourcing policy</t>
  </si>
  <si>
    <t>Pre-qualified alternate supplier contracts</t>
  </si>
  <si>
    <t>Modular product design standard</t>
  </si>
  <si>
    <t>Supplier BCP audit + fire suppression standard</t>
  </si>
  <si>
    <t>Business interruption insurance with operational triggers</t>
  </si>
  <si>
    <t>Build an IoT + API dashboard monitoring Philips fab uptime, yield rates and output daily</t>
  </si>
  <si>
    <t>Require two qualified suppliers for every chip used in &gt;5% of any product line</t>
  </si>
  <si>
    <t>Sign standby supply agreements with US + Japanese chip fabs before any crisis</t>
  </si>
  <si>
    <t>Mandate circuit-board designs that accept multiple chip variants from different vendors</t>
  </si>
  <si>
    <t>Require critical suppliers to demonstrate clean-room fire suppression and BCP compliance annually</t>
  </si>
  <si>
    <t>Purchase BI insurance that pays out when a named supplier loses &gt;20% output — not just when Ericsson has proven losses</t>
  </si>
  <si>
    <t>Low-Med</t>
  </si>
  <si>
    <t>Fast</t>
  </si>
  <si>
    <t>Structurally Reduced</t>
  </si>
  <si>
    <t>Financial hedge</t>
  </si>
  <si>
    <t>When critical components come from a single plant with no buffer</t>
  </si>
  <si>
    <t>After sole-source risk is identified; standard in aerospace/defence</t>
  </si>
  <si>
    <t>When lead time to qualify a new supplier exceeds crisis response window</t>
  </si>
  <si>
    <t>During new product development; retrofit is expensive but critical for resilience</t>
  </si>
  <si>
    <t>As part of annual supplier qualification review</t>
  </si>
  <si>
    <t>As a financial buffer alongside (not instead of) operational resilience measures</t>
  </si>
  <si>
    <t>Decisions Impact Summary - Self Analysis</t>
  </si>
  <si>
    <t>KPI Change Summary - Self Analyses</t>
  </si>
  <si>
    <t>Scenario</t>
  </si>
  <si>
    <t>Single-scouce</t>
  </si>
  <si>
    <t>Weeks</t>
  </si>
  <si>
    <t>High (unrecog.)</t>
  </si>
  <si>
    <t>Not tracked</t>
  </si>
  <si>
    <t>Slow (Ericsson)</t>
  </si>
  <si>
    <t>100% (Ericsson)</t>
  </si>
  <si>
    <t>Months</t>
  </si>
  <si>
    <t>Realised</t>
  </si>
  <si>
    <t>Volume collapse</t>
  </si>
  <si>
    <t>Weeks (Ericsson)</t>
  </si>
  <si>
    <t>Exposed</t>
  </si>
  <si>
    <t>~3 days</t>
  </si>
  <si>
    <t>Multi-Scourced</t>
  </si>
  <si>
    <t>Robust</t>
  </si>
  <si>
    <t>Structurally ↓</t>
  </si>
  <si>
    <t>Monitored</t>
  </si>
  <si>
    <t>Decision Analysis Score - Self Analyses</t>
  </si>
  <si>
    <t>Resilience gain</t>
  </si>
  <si>
    <t>Feasibility</t>
  </si>
  <si>
    <t>Speed of implementation</t>
  </si>
  <si>
    <t>Overall (Average)</t>
  </si>
  <si>
    <t>Resilience Gain</t>
  </si>
  <si>
    <t>Speed</t>
  </si>
  <si>
    <t>Overall</t>
  </si>
  <si>
    <t>Zara (Inditex) — item-level RFID + AI demand/allocation across the full digital stack</t>
  </si>
  <si>
    <t>Retail / Apparel — Fast Fashion</t>
  </si>
  <si>
    <t>Zara is the flagship BRAND; Inditex (Industria de Diseño Textil, S.A.) is the listed PARENT GROUP.</t>
  </si>
  <si>
    <t>Improvement</t>
  </si>
  <si>
    <t>Group sales €38.6bn (+7.5%); 5,563 stores; Zara &gt;70% of group sales; ~840M+ garments RFID-tagged/yr.</t>
  </si>
  <si>
    <t>Node 1 – Fabric / raw-material suppliers</t>
  </si>
  <si>
    <t>Grey/undyed fabric procured and held.</t>
  </si>
  <si>
    <t>Node 2 – Garment Manufacturing &amp; Deying &amp; Finishing</t>
  </si>
  <si>
    <t>Fabric dyed/finished AFTER production begins. ~50–60% proximity (Spain/Portugal/Morocco/Turkey) + Asia; small batch.</t>
  </si>
  <si>
    <t>Node 3 – Distribution Centers</t>
  </si>
  <si>
    <t>Arteixo/Zaragoza hubs; twice-weekly shipments; RFID encoding origin.</t>
  </si>
  <si>
    <t>Node 4 – Stores (~5,500 group)</t>
  </si>
  <si>
    <t>Twice-weekly collections; store-manager feedback loop.</t>
  </si>
  <si>
    <t>Node 5 – Customer / omnichannel</t>
  </si>
  <si>
    <t>Stores + online + app across 200+ markets.</t>
  </si>
  <si>
    <t>Node 6 – Design / HQ (Arteixo)</t>
  </si>
  <si>
    <t>Designers convert live feedback + trends into new designs.</t>
  </si>
  <si>
    <t>Node 7 – Returns / reverse logistics</t>
  </si>
  <si>
    <t>Returns reprocessed and reallocated.</t>
  </si>
  <si>
    <t>Trend capture &amp; design (store feedback + trends)</t>
  </si>
  <si>
    <t>Design / HQ</t>
  </si>
  <si>
    <t>Fabric sourcing (grey fabric held)</t>
  </si>
  <si>
    <t>Suppliers</t>
  </si>
  <si>
    <t>Postponed dyeing/finishing to live demand</t>
  </si>
  <si>
    <t>Dyeing/finishing</t>
  </si>
  <si>
    <t>Small-batch cut-make-trim</t>
  </si>
  <si>
    <t>Manufacturing</t>
  </si>
  <si>
    <t>RFID encoding + QC + sortation</t>
  </si>
  <si>
    <t>Logistics / DC</t>
  </si>
  <si>
    <t>Twice-weekly consolidated shipment</t>
  </si>
  <si>
    <t>Store receiving (RFID) &amp; floor replenishment</t>
  </si>
  <si>
    <t>Store</t>
  </si>
  <si>
    <t>Sale at POS (RFID read, tag recirculated)</t>
  </si>
  <si>
    <t>Store / Customer</t>
  </si>
  <si>
    <t>Store-manager feedback loop to design</t>
  </si>
  <si>
    <t>Store → Design</t>
  </si>
  <si>
    <t>Omnichannel fulfilment (ship-from-store)</t>
  </si>
  <si>
    <t>Returns processing &amp; reallocation</t>
  </si>
  <si>
    <t>Reverse logistics</t>
  </si>
  <si>
    <t xml:space="preserve">Inventory accuracy </t>
  </si>
  <si>
    <t>~65% pre-RFID → ~95-99% post-RFID (near real-time).</t>
  </si>
  <si>
    <t>Proximity premium on unit cost, offset by fewer markdowns/faster turns.</t>
  </si>
  <si>
    <t>~2–3 weeks design-to-store vs 6–9 months industry norm.</t>
  </si>
  <si>
    <t>Markdown rate</t>
  </si>
  <si>
    <t>~15–20% of inventory vs 30–40% industry average.</t>
  </si>
  <si>
    <t>Stock-count labour</t>
  </si>
  <si>
    <t>40 staff × 5h twice a year → 10 staff in half the time.</t>
  </si>
  <si>
    <t>High (fast-fashion volume; proximity trims transport only).</t>
  </si>
  <si>
    <t>Medium; lower after RFID cut misallocation.</t>
  </si>
  <si>
    <t>High on novelty/price; improved by availability.</t>
  </si>
  <si>
    <t>Medium — Spain-centric DC concentration; eased by omnichannel.</t>
  </si>
  <si>
    <t>High/consistent (vertical control).</t>
  </si>
  <si>
    <t>Medium-Low (proximity + Join Life; Epoch Biodesign early).</t>
  </si>
  <si>
    <t>Low, early improvement (reusable tag; recycling R&amp;D).</t>
  </si>
  <si>
    <t>Technology</t>
  </si>
  <si>
    <t>How it is used / purpose</t>
  </si>
  <si>
    <t>Item-level RFID (UHF/RAIN, EPC Gen2)</t>
  </si>
  <si>
    <t>Chip in reusable EAS security tag (100+ reuses); read at DC/receiving/floor/POS.</t>
  </si>
  <si>
    <t>Inditex Open Platform (IOP)</t>
  </si>
  <si>
    <t>In-house integration layer unifying design/purchasing/distribution/inventory/orders.</t>
  </si>
  <si>
    <t>AI demand forecasting (Jetlore)</t>
  </si>
  <si>
    <t>Maps size/colour/fit/style preferences into predictive attributes.</t>
  </si>
  <si>
    <t>AI allocation &amp; markdown optimisation</t>
  </si>
  <si>
    <t>Assortment per store; clearance pricing (Caro &amp; Gallien).</t>
  </si>
  <si>
    <t>Digital twin of the business</t>
  </si>
  <si>
    <t>Every garment/store/transaction a data point feeding AI.</t>
  </si>
  <si>
    <t>Omnichannel platform (Store Mode)</t>
  </si>
  <si>
    <t>Single stock pool; ship-from-store; in-app stock/location.</t>
  </si>
  <si>
    <t>Integration steps</t>
  </si>
  <si>
    <t>Integration details</t>
  </si>
  <si>
    <t>Problem (Root Cause)</t>
  </si>
  <si>
    <t>Store-level data blindness (~65% accuracy) limiting availability, omnichannel and AI.</t>
  </si>
  <si>
    <t>Proposed Solutions</t>
  </si>
  <si>
    <t>Wave 1: item-level RFID (reusable security tag). Wave 2: AI demand forecasting/allocation/markdown on the RFID data.</t>
  </si>
  <si>
    <t>How to integrated the solution/system/technology and affected nodes</t>
  </si>
  <si>
    <t>Encode at DC → read at receiving/floor/POS → data feeds IOP + AI (Jetlore). RFID rolled out 2014–2016, all Zara stores by end-2016 → Jetlore was acquired by Paypal in 2018 → extended group-wide + new RFID/security tech live in Zara 2024.</t>
  </si>
  <si>
    <t>Effect on supply chain</t>
  </si>
  <si>
    <t>Item-level real-time visibility; reliable omnichannel; a digital twin of the business enabling AI.</t>
  </si>
  <si>
    <t>Results after intregration of technology/solution/system</t>
  </si>
  <si>
    <t>Accuracy ~65% → ~99%; counts 40×5h → 10 staff half-time; markdowns ~15–20% vs 30–40%; group sales €38.6bn FY2024. (reasoned estimate)</t>
  </si>
  <si>
    <t>Item-level RFID (reusable tag)</t>
  </si>
  <si>
    <t>AI demand forecasting</t>
  </si>
  <si>
    <t>AI allocation &amp; replenishment</t>
  </si>
  <si>
    <t>Omnichannel platform</t>
  </si>
  <si>
    <t>Markdown optimisation</t>
  </si>
  <si>
    <t>Digital-twin data model</t>
  </si>
  <si>
    <t>Digitised feedback loop</t>
  </si>
  <si>
    <t>Logistics/nearshoring expansion</t>
  </si>
  <si>
    <t>Proximity + postponement</t>
  </si>
  <si>
    <t>AI circularity (Epoch Biodesign)</t>
  </si>
  <si>
    <t>Chip in reusable EAS tag; read DC/floor/POS</t>
  </si>
  <si>
    <t>ML on live sales + feedback + signals</t>
  </si>
  <si>
    <t>Assortment/size per store, twice-weekly</t>
  </si>
  <si>
    <t>Single stock pool; ship-from-store</t>
  </si>
  <si>
    <t>ML discount timing/depth</t>
  </si>
  <si>
    <t>Every garment/store/txn a data point</t>
  </si>
  <si>
    <t>Live store signals into design/planning</t>
  </si>
  <si>
    <t>€900m/yr; Zaragoza II DC</t>
  </si>
  <si>
    <t>50–60% near-shore, dye-late, small batch</t>
  </si>
  <si>
    <t>AI enzymes recycling mixed textiles</t>
  </si>
  <si>
    <t>High capex/low TCO</t>
  </si>
  <si>
    <t>Higher unit/low total</t>
  </si>
  <si>
    <t>High/early</t>
  </si>
  <si>
    <t>Strategic</t>
  </si>
  <si>
    <t>ReducedReduced</t>
  </si>
  <si>
    <t>Reduced(pot.)</t>
  </si>
  <si>
    <t>R&amp;D</t>
  </si>
  <si>
    <t>TBD</t>
  </si>
  <si>
    <t>ImprovedI</t>
  </si>
  <si>
    <t>Reputational</t>
  </si>
  <si>
    <t>Mixed</t>
  </si>
  <si>
    <t>Accuracy is the binding constraint</t>
  </si>
  <si>
    <t>Clean data exists (after RFID)</t>
  </si>
  <si>
    <t>Many stores, heterogeneous demand</t>
  </si>
  <si>
    <t>Online material + accuracy solved</t>
  </si>
  <si>
    <t>Seasonal markdown exposure</t>
  </si>
  <si>
    <t>After years of clean data</t>
  </si>
  <si>
    <t>Front-line signal is core edge</t>
  </si>
  <si>
    <t>Growth outpaces DC capacity</t>
  </si>
  <si>
    <t>Responsiveness beats lowest cost</t>
  </si>
  <si>
    <t>Textile-waste pressure rises</t>
  </si>
  <si>
    <t>Predictive sustainability scoring per garment</t>
  </si>
  <si>
    <t>AI-powered returns optimisation</t>
  </si>
  <si>
    <t>Supplier carbon tracking blockchain</t>
  </si>
  <si>
    <t>Dynamic micro-fulfilment centres</t>
  </si>
  <si>
    <t>Customer co-design pilot</t>
  </si>
  <si>
    <t>Carbon-neutral logistics routing engine</t>
  </si>
  <si>
    <t>Attach a CO2, water and chemical score to every new design; use it in buying decisions</t>
  </si>
  <si>
    <t>Use ML to predict which items will be returned and pre-position reverse logistics accordingly</t>
  </si>
  <si>
    <t>Require all tier-1/2 fabric suppliers to log carbon data on a shared blockchain ledger</t>
  </si>
  <si>
    <t>Add 3–5 urban micro-DCs per major city to enable same-day delivery without air freight</t>
  </si>
  <si>
    <t>Let loyalty customers vote on colourways/fits each season via app; produce only voted designs</t>
  </si>
  <si>
    <t>Add CO2 cost as a weighted variable alongside time and monetary cost in all routing decisions</t>
  </si>
  <si>
    <t>Short</t>
  </si>
  <si>
    <t>Significant reduction</t>
  </si>
  <si>
    <t>Greatly Improved</t>
  </si>
  <si>
    <t>Positive</t>
  </si>
  <si>
    <t>When regulatory pressure (EU sustainability disclosure) forces transparency</t>
  </si>
  <si>
    <t>When online returns exceed 15% of sales and logistics cost becomes material</t>
  </si>
  <si>
    <t>When EU Corporate Sustainability Reporting Directive applies to supply chain scope 3</t>
  </si>
  <si>
    <t>When fast fashion competition from Shein/Temu forces faster last-mile delivery</t>
  </si>
  <si>
    <t>When overproduction and markdown rates remain high despite AI forecasting</t>
  </si>
  <si>
    <t>When carbon taxes and EU Green Deal logistics rules increase cost of high-emission routes</t>
  </si>
  <si>
    <t>Significant reduced</t>
  </si>
  <si>
    <t>Greatly increased</t>
  </si>
  <si>
    <t>Inv. accuracy</t>
  </si>
  <si>
    <t>~65%</t>
  </si>
  <si>
    <t>2–3 wks</t>
  </si>
  <si>
    <t>15–20%</t>
  </si>
  <si>
    <t>High w/ gaps</t>
  </si>
  <si>
    <t>Med-Low</t>
  </si>
  <si>
    <t>Higher</t>
  </si>
  <si>
    <t>High (unsold)</t>
  </si>
  <si>
    <t>Low (shut)</t>
  </si>
  <si>
    <t>~99%</t>
  </si>
  <si>
    <t>2–3 wks + sensing</t>
  </si>
  <si>
    <t>Lower</t>
  </si>
  <si>
    <t>Med-LowIncreased</t>
  </si>
  <si>
    <t>Low, early gains</t>
  </si>
  <si>
    <t>Tesla — vertical integration + software-defined, AI-driven supply chain</t>
  </si>
  <si>
    <t>Tesla, Inc. — deep but SELECTIVE vertical integrator (~80% of supply chain controlled).</t>
  </si>
  <si>
    <t>2023: 1.85M produced (+35%), 1.81M delivered (+38%); Q4-2024 record ~495,570 delivered; 11.0 GWh storage Q4-2024.</t>
  </si>
  <si>
    <t>Node 1 – Raw materials</t>
  </si>
  <si>
    <t>Lithium/nickel via long-term contracts (Australia, Chile); cobalt reduction; planned in-house refining.</t>
  </si>
  <si>
    <t>Node 2 – Battery cells</t>
  </si>
  <si>
    <t>In-house 4680 cells + cathode at Gigafactories (+ Panasonic/CATL/LG).</t>
  </si>
  <si>
    <t>Node 3 – Components</t>
  </si>
  <si>
    <t>Drive units, power electronics, BMS designed &amp; built in-house.</t>
  </si>
  <si>
    <t>Node 4 – Manufacturing</t>
  </si>
  <si>
    <t>Gigafactories co-locate cells/packs/assembly; Gigacasting; software-defined lines.</t>
  </si>
  <si>
    <t>Node 5 – Vehicle software</t>
  </si>
  <si>
    <t>Own OS, ADAS/FSD, OTA updates — the software-defined vehicle.</t>
  </si>
  <si>
    <t>Node 6 – Distribution &amp; sales</t>
  </si>
  <si>
    <t>Direct-to-consumer via web &amp; company-owned stores (no dealers).</t>
  </si>
  <si>
    <t>Node 7 – Charging / energy</t>
  </si>
  <si>
    <t>Proprietary Supercharger network; energy storage.</t>
  </si>
  <si>
    <t>Node 8 – Fleet / after-sales</t>
  </si>
  <si>
    <t>OTA + fleet telemetry feed a closed loop back to design/production.</t>
  </si>
  <si>
    <t>Secure raw materials (long-term contracts)</t>
  </si>
  <si>
    <t>Raw materials</t>
  </si>
  <si>
    <t>Produce 4680 cells + cathode in-house</t>
  </si>
  <si>
    <t>Battery cells</t>
  </si>
  <si>
    <t>Build drive units / power electronics / BMS</t>
  </si>
  <si>
    <t>Components</t>
  </si>
  <si>
    <t>Gigacast underbodies</t>
  </si>
  <si>
    <t>Software-defined automated assembly (IoT + twins)</t>
  </si>
  <si>
    <t>Flash vehicle OS/FSD; enable OTA</t>
  </si>
  <si>
    <t>Vehicle software</t>
  </si>
  <si>
    <t>Sell direct-to-consumer; capture demand</t>
  </si>
  <si>
    <t>Distribution &amp; sales</t>
  </si>
  <si>
    <t>Connect to Supercharger / energy ecosystem</t>
  </si>
  <si>
    <t>Charging/energy</t>
  </si>
  <si>
    <t>Collect fleet telemetry → design/production</t>
  </si>
  <si>
    <t>Fleet/after-sales</t>
  </si>
  <si>
    <t>Supply-chain control</t>
  </si>
  <si>
    <t>~80% of supply chain owned/controlled.</t>
  </si>
  <si>
    <t>Integration removes supplier margins; offset by very high capex.</t>
  </si>
  <si>
    <t>Fast design→production→fleet feedback loop (owns the stages).</t>
  </si>
  <si>
    <t>Manufacturing cost</t>
  </si>
  <si>
    <t>Gigacasting cuts Model Y rear-underbody casting cost by up to ~40% (realized). Separately, the 2023-announced 'Unboxed' process targets a 50% cut in production cost and a 40% reduction in factory footprint (largely not yet realized at scale as of early 2026).</t>
  </si>
  <si>
    <t>Battery</t>
  </si>
  <si>
    <t>Tesla's 2020 Battery Day target: 5× energy, 6× power, 16% more range vs. 2170. As of 2025–2026 independent measurement, production 4680 cells (244 Wh/kg) have not matched this and underperform the 2170 cells (269 Wh/kg) they were meant to replace.</t>
  </si>
  <si>
    <t>Production scale</t>
  </si>
  <si>
    <t>2023: 1.85M built / 1.81M delivered; Q4-2024 record ~495,570.</t>
  </si>
  <si>
    <t>Mixed — EV/energy mission positive; mining &amp; cell mfg energy-intensive.</t>
  </si>
  <si>
    <t>Low-Med (Gigacasting cuts parts/scrap).</t>
  </si>
  <si>
    <t>High (product + OTA + direct experience).</t>
  </si>
  <si>
    <t>Medium — sole-source deps (semis, battery materials); capital/demand risk.</t>
  </si>
  <si>
    <t>High (end-to-end control).</t>
  </si>
  <si>
    <t>Mixed (EV mission vs mining/energy footprint).</t>
  </si>
  <si>
    <t>Medium (battery recycling ties; cobalt reduction).</t>
  </si>
  <si>
    <t>Battery cost/supply, slow iteration, and chip/raw-material supply risk under an outsourced model.</t>
  </si>
  <si>
    <t>Own critical layers (4680 cells, drive units, software, silicon, charging) + software-defined, AI-driven manufacturing.</t>
  </si>
  <si>
    <t>Battery Day (2020) in-house cells; Gigafactories; IoT + digital twins; OTA; firmware rewritten to accept alternative chips during the shortage.</t>
  </si>
  <si>
    <t>Software-led resilience; compressed feedback loop; structural cost control across nodes.</t>
  </si>
  <si>
    <t>Maintained output through the chip shortage; 1.85M vehicles (2023); drove industry Gigacasting adoption.</t>
  </si>
  <si>
    <t>Firmware chip substitution</t>
  </si>
  <si>
    <t>In-house 4680 cells</t>
  </si>
  <si>
    <t>Gigacasting</t>
  </si>
  <si>
    <t>Vertical integration (silicon/AI)</t>
  </si>
  <si>
    <t>Long-term raw-material contracts</t>
  </si>
  <si>
    <t>Direct-to-consumer sales</t>
  </si>
  <si>
    <t>Digital twin + AI manufacturing</t>
  </si>
  <si>
    <t>OTA software updates</t>
  </si>
  <si>
    <t>Localise production (Gigafactories)</t>
  </si>
  <si>
    <t>Rewrite software to accept alternative chips</t>
  </si>
  <si>
    <t>Design &amp; build own cells/cathode</t>
  </si>
  <si>
    <t>Single-piece die-cast underbodies</t>
  </si>
  <si>
    <t>Own compute (Dojo), drive units</t>
  </si>
  <si>
    <t>Lithium/nickel supply security</t>
  </si>
  <si>
    <t>Own stores/web; capture demand data</t>
  </si>
  <si>
    <t>IoT + twins + fleet feedback loop</t>
  </si>
  <si>
    <t>Fleet-wide updates &amp; fixes</t>
  </si>
  <si>
    <t>Regional plants (US/CN/DE)</t>
  </si>
  <si>
    <t>Med (scrap)</t>
  </si>
  <si>
    <t>You own the software layer</t>
  </si>
  <si>
    <t>Battery is the strategic constraint</t>
  </si>
  <si>
    <t>High-volume standardised platform</t>
  </si>
  <si>
    <t>Component strategically decisive</t>
  </si>
  <si>
    <t>Materials scarce/critical</t>
  </si>
  <si>
    <t>Demand-signal control matters</t>
  </si>
  <si>
    <t>After data infrastructure built</t>
  </si>
  <si>
    <t>Software-defined vehicle</t>
  </si>
  <si>
    <t>Geographic diversification</t>
  </si>
  <si>
    <t>Cobalt-free battery chemistry acceleration</t>
  </si>
  <si>
    <t>Second-life battery marketplace</t>
  </si>
  <si>
    <t>Open-source Supercharger standard</t>
  </si>
  <si>
    <t>Predictive grid integration (V2G)</t>
  </si>
  <si>
    <t>Transparent raw material sourcing blockchain</t>
  </si>
  <si>
    <t>Real-time carbon footprint dashboard per vehicle</t>
  </si>
  <si>
    <t>AI-driven demand localisation</t>
  </si>
  <si>
    <t>Accelerate LFP (lithium iron phosphate) cell R&amp;D to eliminate cobalt from all vehicle lines by 2027</t>
  </si>
  <si>
    <t>Build a Tesla-managed platform for retired vehicle batteries to be resold into stationary storage</t>
  </si>
  <si>
    <t>Fully open the NACS charging standard to all EVs globally to accelerate EV adoption and utilise idle capacity</t>
  </si>
  <si>
    <t>Enable Vehicle-to-Grid bidirectional charging so Tesla fleets can stabilise grid and generate revenue for owners</t>
  </si>
  <si>
    <t>Publish a blockchain-verified map of lithium, cobalt and nickel origin for every vehicle produced</t>
  </si>
  <si>
    <t>Give every Tesla owner a live dashboard showing the carbon footprint of their vehicle over its entire lifecycle</t>
  </si>
  <si>
    <t>Use regional sales data and charging network utilisation to predict exact model-mix demand by country 6 months ahead</t>
  </si>
  <si>
    <t>High (R&amp;D)</t>
  </si>
  <si>
    <t>Significantly Reduced</t>
  </si>
  <si>
    <t>When cobalt price volatility or DRC supply chain ethics create reputational/cost risk</t>
  </si>
  <si>
    <t>When battery disposal regulations tighten and stationary storage demand grows</t>
  </si>
  <si>
    <t>When government incentives reward open charging infrastructure and competitors adopt the standard</t>
  </si>
  <si>
    <t>When electricity grid operators offer revenue-sharing for demand-response capacity</t>
  </si>
  <si>
    <t>When EU Battery Regulation 2023 mandates supply chain due diligence and carbon footprint disclosure</t>
  </si>
  <si>
    <t>When sustainability transparency becomes a purchase decision driver and ESG reporting is required</t>
  </si>
  <si>
    <t>When production mix mismatches create regional inventory imbalances or delivery delays</t>
  </si>
  <si>
    <t>Decisions Impact Summary</t>
  </si>
  <si>
    <t>Significant Reduced</t>
  </si>
  <si>
    <t>Struct. Reduced</t>
  </si>
  <si>
    <t>Greatly Increased</t>
  </si>
  <si>
    <t>High capex</t>
  </si>
  <si>
    <t>~80%</t>
  </si>
  <si>
    <t>Strained</t>
  </si>
  <si>
    <t>Controlled</t>
  </si>
  <si>
    <t>Lower (SW flex)</t>
  </si>
  <si>
    <t>Ryanair — ultra-low-cost carrier supply chain &amp; digital operations</t>
  </si>
  <si>
    <t>Aviation / Air Transport — Low-Cost Carrier (SERVICE supply chain)</t>
  </si>
  <si>
    <t>Ryanair Holdings → Ryanair DAC, Buzz, Malta Air, Lauda Europe (multi-AOC).</t>
  </si>
  <si>
    <t>200.2m (FY25), 208.4m (FY26); FY27 guidance ~216m; target 300m FY34</t>
  </si>
  <si>
    <t>Node 1 – Aircraft &amp; engine procurement</t>
  </si>
  <si>
    <t>Boeing (737 fleet) + CFM (LEAP-1B engines).</t>
  </si>
  <si>
    <t>Node 2 – Fleet &amp; asset management</t>
  </si>
  <si>
    <t>Owned, near-debt-free 737 fleet; commonality.</t>
  </si>
  <si>
    <t>Node 3 – Network &amp; schedule planning</t>
  </si>
  <si>
    <t>Secondary airports; slots; point-to-point.</t>
  </si>
  <si>
    <t>Node 4 – Fuel procurement &amp; hedging</t>
  </si>
  <si>
    <t>Local fuel + ~80% hedging.</t>
  </si>
  <si>
    <t>Node 5 – Ground ops &amp; turnaround</t>
  </si>
  <si>
    <t>Airports &amp; ground handlers; ~25-min turns.</t>
  </si>
  <si>
    <t>Node 6 – Flight operations</t>
  </si>
  <si>
    <t>Multi-AOC crews.</t>
  </si>
  <si>
    <t>Node 7 – Maintenance / MRO</t>
  </si>
  <si>
    <t>CFM (GE–Safran JV); engine MRO in-house target 2028/29</t>
  </si>
  <si>
    <t>Node 8 – Distribution &amp; ancillary</t>
  </si>
  <si>
    <t>Direct digital sales + ancillary (~34%).</t>
  </si>
  <si>
    <t>Procure aircraft (Boeing) + engines (CFM)</t>
  </si>
  <si>
    <t>Procurement</t>
  </si>
  <si>
    <t>Hedge &amp; buy fuel (~80% hedged)</t>
  </si>
  <si>
    <t>Fuel</t>
  </si>
  <si>
    <t>Plan network/schedule (secondary airports)</t>
  </si>
  <si>
    <t>Planning</t>
  </si>
  <si>
    <t>Fleet &amp; turnaround operations (~25 min)</t>
  </si>
  <si>
    <t>Fleet/Operations</t>
  </si>
  <si>
    <t>Flight ops (multi-AOC crews)</t>
  </si>
  <si>
    <t>Flight ops</t>
  </si>
  <si>
    <t>Ground handling</t>
  </si>
  <si>
    <t>Ground ops</t>
  </si>
  <si>
    <t>Maintenance / MRO (in-house by 2028)</t>
  </si>
  <si>
    <t>MRO</t>
  </si>
  <si>
    <t>Direct digital sale + dynamic pricing (Brainer)</t>
  </si>
  <si>
    <t>Distribution</t>
  </si>
  <si>
    <t>Ancillary services + customer experience</t>
  </si>
  <si>
    <t>Ancillary/Customer</t>
  </si>
  <si>
    <t>Cost (ex-fuel CASK)</t>
  </si>
  <si>
    <t>Best-in-class in Europe.</t>
  </si>
  <si>
    <t>Operating margin</t>
  </si>
  <si>
    <t>~11.2% (FY2024) vs Lufthansa ~3.9%.</t>
  </si>
  <si>
    <t>Net profit</t>
  </si>
  <si>
    <t>€1.92bn FY2024 on 184M passengers (most in Europe).</t>
  </si>
  <si>
    <t>Asset productivity</t>
  </si>
  <si>
    <t>~25-min turnarounds; ~1 extra flight/aircraft/day.</t>
  </si>
  <si>
    <t>Load factor</t>
  </si>
  <si>
    <t>92% (Apr 2025, YoY decline); 94% FY25 full-year</t>
  </si>
  <si>
    <t>Ancillary % of revenue</t>
  </si>
  <si>
    <t>~34%.</t>
  </si>
  <si>
    <t>Fuel hedged</t>
  </si>
  <si>
    <t>85% FY26 @ $76/bbl (early); ~84% (Q3 FY26); FY27 80% @ ~$67</t>
  </si>
  <si>
    <t>High (aviation), improving: Gamechanger 16% less fuel; SAF 12.5% by 2030.</t>
  </si>
  <si>
    <t>Low (lean ops; high load factor).</t>
  </si>
  <si>
    <t>Medium (no-frills; low fares vs service friction).</t>
  </si>
  <si>
    <t>Medium — near-total Boeing dependency; fuel/ATC volatility.</t>
  </si>
  <si>
    <t>Quality / safety</t>
  </si>
  <si>
    <t>High (dispatch reliability via commonality).</t>
  </si>
  <si>
    <t>Medium (SAF target; net zero 2050; MSCI A).</t>
  </si>
  <si>
    <t>Low (limited in aviation; fleet-renewal efficiency).</t>
  </si>
  <si>
    <t>Cost volatility, Boeing concentration, asset productivity and distribution control in a razor-thin-margin service model.</t>
  </si>
  <si>
    <t>Digital LCC (Ryanair Labs, Brainer, myRyanair) + fuel hedging + fleet commonality + selective vertical integration (in-house MRO; Malta Air EU AOC).</t>
  </si>
  <si>
    <t>Build-not-buy tech; ~80% fuel hedging; standardised 737 ops; Malta Air full ownership (2024); in-house engine overhaul by 2028.</t>
  </si>
  <si>
    <t>Cost certainty, asset productivity, direct customer/data control, structural resilience across nodes.</t>
  </si>
  <si>
    <t>FY2024 record net profit €1.92bn on 184M pax (most in Europe); ~11.2% op margin vs Lufthansa ~3.9%.</t>
  </si>
  <si>
    <t>Single fleet type (737)</t>
  </si>
  <si>
    <t>Fuel hedging ~80%</t>
  </si>
  <si>
    <t>Build-not-buy digital (Labs)</t>
  </si>
  <si>
    <t>In-house MRO (by 2028)</t>
  </si>
  <si>
    <t>Malta Air full ownership (2024)</t>
  </si>
  <si>
    <t>Direct distribution</t>
  </si>
  <si>
    <t>Ancillary-heavy pricing</t>
  </si>
  <si>
    <t>Fleet modernisation (MAX 10)</t>
  </si>
  <si>
    <t>Airbus A321neo diversification</t>
  </si>
  <si>
    <t>Secondary-airport strategy</t>
  </si>
  <si>
    <t>Uniform fleet for commonality</t>
  </si>
  <si>
    <t>Hedge near-term fuel needs</t>
  </si>
  <si>
    <t>In-house platform, ML pricing (Brainer)</t>
  </si>
  <si>
    <t>Own engine overhaul facilities</t>
  </si>
  <si>
    <t>EU AOC / multi-AOC structure</t>
  </si>
  <si>
    <t>Sell via web/app; own data</t>
  </si>
  <si>
    <t>Unbundle; monetise add-ons (~34%)</t>
  </si>
  <si>
    <t>150 firm + options; -20% fuel</t>
  </si>
  <si>
    <t>Reduce Boeing single-supplier risk</t>
  </si>
  <si>
    <t>Lower fees + faster turns</t>
  </si>
  <si>
    <t>Med (capex)</t>
  </si>
  <si>
    <t>Reduced(deliv. risk)</t>
  </si>
  <si>
    <t>Med (SAF)</t>
  </si>
  <si>
    <t>Standardisation is the cost lever</t>
  </si>
  <si>
    <t>Volatile input dominates cost</t>
  </si>
  <si>
    <t>Speed + tailoring + data control</t>
  </si>
  <si>
    <t>Maintenance dependence dangerous</t>
  </si>
  <si>
    <t>Brexit/regulatory exposure</t>
  </si>
  <si>
    <t>Margin + customer-data control</t>
  </si>
  <si>
    <t>Low headline fares + margin</t>
  </si>
  <si>
    <t>Scale + efficiency</t>
  </si>
  <si>
    <t>Boeing concentration risk</t>
  </si>
  <si>
    <t>Cost + productivity</t>
  </si>
  <si>
    <t>Decreased</t>
  </si>
  <si>
    <t xml:space="preserve">11
</t>
  </si>
  <si>
    <t xml:space="preserve">12
</t>
  </si>
  <si>
    <t xml:space="preserve">13
</t>
  </si>
  <si>
    <t xml:space="preserve">14
</t>
  </si>
  <si>
    <t>SAF (Sustainable Aviation Fuel) co-investment fund</t>
  </si>
  <si>
    <t>AI predictive maintenance platform</t>
  </si>
  <si>
    <t>Airbus A321neo fleet diversification pilot</t>
  </si>
  <si>
    <t>Real-time ATC disruption rerouting system</t>
  </si>
  <si>
    <t>Join an airline consortium to co-fund SAF production capacity, securing long-term supply at agreed price</t>
  </si>
  <si>
    <t>Use ML on engine/airframe sensor data to predict component failures 30–90 days ahead; reduce AOG events</t>
  </si>
  <si>
    <t>Order 20–50 A321neo aircraft to reduce Boeing single-supplier dependency and access newer fuel-efficient engines</t>
  </si>
  <si>
    <t>Integrate live ATC capacity data and weather feeds into an AI that automatically proposes reroutings before delay occurs</t>
  </si>
  <si>
    <t>When EU ETS carbon costs make SAF cost-competitive vs Jet A1 on a total-cost basis</t>
  </si>
  <si>
    <t>When Boeing 737 fleet exceeds 200 aircraft and manual maintenance tracking becomes a liability</t>
  </si>
  <si>
    <t>When Boeing delivery delays or safety groundings threaten Ryanair's growth schedule</t>
  </si>
  <si>
    <t>When ATC strikes and slot congestion regularly cause reactionary delays across the network</t>
  </si>
  <si>
    <t>Low (ex-fuel)</t>
  </si>
  <si>
    <t>Fast turns</t>
  </si>
  <si>
    <t>~11%</t>
  </si>
  <si>
    <t>Growth cut</t>
  </si>
  <si>
    <t>Compressed</t>
  </si>
  <si>
    <t>High (SAFReduced)</t>
  </si>
  <si>
    <t>~11.2%</t>
  </si>
  <si>
    <t>Maersk NotPetya Cyberattack (2017) — global shipping infrastructure wiped</t>
  </si>
  <si>
    <t>Logistics &amp; Transportation / Maritime Shipping / Cybersecurity</t>
  </si>
  <si>
    <t>A.P. Møller-Maersk — world's largest container shipping line</t>
  </si>
  <si>
    <t>Handles ~20% of global maritime container trade; 130 countries; 600+ offices; 76 container terminals; 45,000 employees affected</t>
  </si>
  <si>
    <t>Node 1 — IT infrastructure (domain controllers)</t>
  </si>
  <si>
    <t>Authentication backbone of the entire global network. ALL wiped by NotPetya within hours — except one in Ghana saved by a power cut.</t>
  </si>
  <si>
    <t>Node 2 — Terminal Operating Systems (76 ports)</t>
  </si>
  <si>
    <t>Systems orchestrating container movements, loading plans, gate operations at 76 terminals. All went dark.</t>
  </si>
  <si>
    <t>Node 3 — Booking &amp; cargo-tracking systems</t>
  </si>
  <si>
    <t>Customer-facing freight booking and shipment tracking. Completely unavailable.</t>
  </si>
  <si>
    <t>Node 4 — Internal communication (email/phones)</t>
  </si>
  <si>
    <t>Email and internal phone systems rendered useless by the attack.</t>
  </si>
  <si>
    <t>Node 5 — Ship loading management</t>
  </si>
  <si>
    <t>Weight-balance calculation systems for safe container loading. Offline.</t>
  </si>
  <si>
    <t>Node 6 — Port operations (77 countries)</t>
  </si>
  <si>
    <t>Physical port facilities across 76 terminals in 130 countries. Forced to halt or operate manually.</t>
  </si>
  <si>
    <t>Node7 — Customer supply chains</t>
  </si>
  <si>
    <t>Every importer/exporter using Maersk services. Lost visibility of cargo, delivery dates, documentation.</t>
  </si>
  <si>
    <t>Customer books container shipment via Maersk digital platforms</t>
  </si>
  <si>
    <t>Booking system / customer</t>
  </si>
  <si>
    <t>Cargo assigned to vessel; loading plan calculated by weight-balance system</t>
  </si>
  <si>
    <t>Terminal Operating System</t>
  </si>
  <si>
    <t>Container arrives at port; gate systems process entry</t>
  </si>
  <si>
    <t>Port gate / TOS</t>
  </si>
  <si>
    <t>Container loaded onto ship per precise loading plan</t>
  </si>
  <si>
    <t>Ship loading management</t>
  </si>
  <si>
    <t>Vessel departs; cargo tracked in real time</t>
  </si>
  <si>
    <t>Tracking systems</t>
  </si>
  <si>
    <t>Destination port receives vessel; TOS orchestrates unloading</t>
  </si>
  <si>
    <t>Destination terminal</t>
  </si>
  <si>
    <t>Cargo handed to customer / onward logistics</t>
  </si>
  <si>
    <t>Customer / haulier</t>
  </si>
  <si>
    <t>High (global shipping is a major CO₂ emitter)</t>
  </si>
  <si>
    <t>High pre-attack (full digital service)</t>
  </si>
  <si>
    <t>High but unrecognised (average posture for sector in 2017)</t>
  </si>
  <si>
    <t>High (precision container logistics)</t>
  </si>
  <si>
    <t>Medium (efficiency of scale vs shipping emissions)</t>
  </si>
  <si>
    <t>Low (not applicable to shipping logistics in this context)</t>
  </si>
  <si>
    <t>27 June 2017: NotPetya wiper deployed via a compromised M.E.Doc software update. One infected computer in Odessa, Ukraine spread to Maersk's entire global network within hours.</t>
  </si>
  <si>
    <t>Root cause (proximate)</t>
  </si>
  <si>
    <t>Weak network segmentation allowed a single infection to propagate globally via EternalBlue + credential harvesting. All domain controllers wiped. All backups (also in-network) wiped.</t>
  </si>
  <si>
    <t>Root cause (structural)</t>
  </si>
  <si>
    <t>Three structural gaps: (1) no network segmentation; (2) no isolated offline backups; (3) unpatched Windows vulnerability (EternalBlue patch existed since March 2017 — 3 months before the attack); (4) no third-party software security assessment for M.E.Doc.</t>
  </si>
  <si>
    <t>Speed of destruction</t>
  </si>
  <si>
    <t>Within hours of the initial infection, the entire global IT estate was gone. 600+ offices, 76 terminals, 130 countries — all simultaneously.</t>
  </si>
  <si>
    <t>ALL nodes: domain controllers (wiped), TOS (76 ports offline), booking/tracking (unavailable), email/phones (dead), ship loading (halted), customer-facing systems (gone).</t>
  </si>
  <si>
    <t>Financial impact</t>
  </si>
  <si>
    <t>~$250–300M (Maersk Q2 2017); ~$350M including recovery. Total NotPetya damages across all victims exceeded $10B.</t>
  </si>
  <si>
    <t>Global shipping halt: port facilities shut down worldwide, tens of thousands of truckloads turned away. Maersk maintained ~80% of volume manually during 10-day outage — only a ~20% volume drop. Without the Ghana backup, recovery would have taken months, not days.</t>
  </si>
  <si>
    <t>Comparator companies</t>
  </si>
  <si>
    <t>Merck (~$870M, Vaccine (Gardasil 9) supply disruption extended for months; Merck took ~18 months to replenish the borrowed CDC pediatric stockpile); FedEx/TNT (~$300M+, some permanent data loss admitted). Maersk's 10-day rebuild was relatively fast by comparison.</t>
  </si>
  <si>
    <t>Immediate shutdown of all systems</t>
  </si>
  <si>
    <t>Manual operation continuity</t>
  </si>
  <si>
    <t>Server emergency extraction</t>
  </si>
  <si>
    <t>Emergency 10-day infrastructure rebuild</t>
  </si>
  <si>
    <t>Network segmentation (post-crisis)</t>
  </si>
  <si>
    <t>Geographically isolated offline backups</t>
  </si>
  <si>
    <t>Patch management discipline</t>
  </si>
  <si>
    <t>Third-party software security assessment</t>
  </si>
  <si>
    <t>Board-level cyber programme</t>
  </si>
  <si>
    <t>Shut down entire IT estate to prevent further spread</t>
  </si>
  <si>
    <t>Run 80% of volume via phone/WhatsApp/handwritten manifests</t>
  </si>
  <si>
    <t>Physical transport Ghana→Nigeria→London to retrieve surviving domain controller</t>
  </si>
  <si>
    <t>Reinstall 4,000 servers, 45,000 PCs, 2,500 apps — new infrastructure from scratch</t>
  </si>
  <si>
    <t>Segment network so a single infection cannot traverse globally</t>
  </si>
  <si>
    <t>Mandate offline, geographically dispersed backups tested regularly</t>
  </si>
  <si>
    <t>Apply all critical patches within defined windows; EternalBlue was patchable 3 months before the attack</t>
  </si>
  <si>
    <t>Security audit all vendor software before installation; M.E.Doc was unvetted</t>
  </si>
  <si>
    <t>Elevate cyber to board risk; IR playbooks; regular drills; competitive advantage target</t>
  </si>
  <si>
    <t>Very Low (no systems)</t>
  </si>
  <si>
    <t>Very High (hardware + labour)</t>
  </si>
  <si>
    <t>High (capex + complexity)</t>
  </si>
  <si>
    <t>Medium (ongoing)</t>
  </si>
  <si>
    <t>Sustained for 10 days</t>
  </si>
  <si>
    <t>Fast once identified</t>
  </si>
  <si>
    <t>10 days</t>
  </si>
  <si>
    <t>Months to build</t>
  </si>
  <si>
    <t>Fast (once process in place)</t>
  </si>
  <si>
    <t>Med (air travel)</t>
  </si>
  <si>
    <t>High (hardware)</t>
  </si>
  <si>
    <t>Low (storage)</t>
  </si>
  <si>
    <t>Reduced (containment)</t>
  </si>
  <si>
    <t>Reduced (contained)</t>
  </si>
  <si>
    <t>Reduced (enabler)</t>
  </si>
  <si>
    <t>Reduced (restored)</t>
  </si>
  <si>
    <t>Reduced (structural)</t>
  </si>
  <si>
    <t>Reduced (strategic)</t>
  </si>
  <si>
    <t>Preserved</t>
  </si>
  <si>
    <t>Partial (~80%)</t>
  </si>
  <si>
    <t>Recovery enabled</t>
  </si>
  <si>
    <t>Restored</t>
  </si>
  <si>
    <t>Prevented worse loss</t>
  </si>
  <si>
    <t>80% protected</t>
  </si>
  <si>
    <t>Critical</t>
  </si>
  <si>
    <t>When malware is still spreading — stop the bleeding first</t>
  </si>
  <si>
    <t>When systems gone — human resilience is the backup</t>
  </si>
  <si>
    <t>When all other backups are gone — the accidental backup saves everything</t>
  </si>
  <si>
    <t>Backup available; emergency resources mobilised</t>
  </si>
  <si>
    <t>After lateral-movement attack reveals single flat network</t>
  </si>
  <si>
    <t>Accident becomes a design principle</t>
  </si>
  <si>
    <t>Known exploitable vulnerabilities with available patches</t>
  </si>
  <si>
    <t>Any third-party software installed on enterprise network</t>
  </si>
  <si>
    <t>After a systemic shock proves average posture is insufficient</t>
  </si>
  <si>
    <t>Sustained</t>
  </si>
  <si>
    <t>Partial (80%)</t>
  </si>
  <si>
    <t>Reduced struct.</t>
  </si>
  <si>
    <t>Reduced strategic</t>
  </si>
  <si>
    <t>Reduced reput.</t>
  </si>
  <si>
    <t>Industry leader</t>
  </si>
  <si>
    <t>High (trust)</t>
  </si>
  <si>
    <t>Zero-trust network architecture (pre-attack)</t>
  </si>
  <si>
    <t>Air-gapped immutable backup protocol</t>
  </si>
  <si>
    <t>Third-party software supply chain auditing</t>
  </si>
  <si>
    <t>Segment all IT infrastructure so that no single compromised node can propagate laterally across the global network</t>
  </si>
  <si>
    <t>Maintain offline, geographically dispersed backups with cryptographic integrity verification updated daily</t>
  </si>
  <si>
    <t>Before any software update is applied, verify vendor code integrity via a dedicated supply-chain security platform</t>
  </si>
  <si>
    <t>Before any major IT transformation or cloud migration; foundational for any 100k+ employee enterprise</t>
  </si>
  <si>
    <t>For any company where IT failure equals operational collapse — the Ghana accident must become a design standard</t>
  </si>
  <si>
    <t>When IT supply chain (tax software, ERP updates) is the entry point for nation-state cyber weapons</t>
  </si>
  <si>
    <t>IT availability</t>
  </si>
  <si>
    <t>Volume</t>
  </si>
  <si>
    <t>Customer sat.</t>
  </si>
  <si>
    <t>Cyber risk</t>
  </si>
  <si>
    <t>Recovery time</t>
  </si>
  <si>
    <t>Financial</t>
  </si>
  <si>
    <t>Resilience</t>
  </si>
  <si>
    <t>Visibility</t>
  </si>
  <si>
    <t>~100% (fully digital)</t>
  </si>
  <si>
    <t>100%</t>
  </si>
  <si>
    <t>Unknown (no plan)</t>
  </si>
  <si>
    <t>Normal</t>
  </si>
  <si>
    <t>Near-zero</t>
  </si>
  <si>
    <t>Fully Digital</t>
  </si>
  <si>
    <t>~0% (all wiped)</t>
  </si>
  <si>
    <t>~80% (manual)</t>
  </si>
  <si>
    <t>Realised (~$350M)</t>
  </si>
  <si>
    <t>10 days (lucky)</t>
  </si>
  <si>
    <t>~$350M loss</t>
  </si>
  <si>
    <t>Zero</t>
  </si>
  <si>
    <t>None</t>
  </si>
  <si>
    <t>~100% (rebuilt + segmented)</t>
  </si>
  <si>
    <t>Lower (segmented + patched)</t>
  </si>
  <si>
    <t>Days (plan ready)</t>
  </si>
  <si>
    <t>Fully digital + Isolated</t>
  </si>
  <si>
    <t>~0% for months</t>
  </si>
  <si>
    <t>~20% (manual)</t>
  </si>
  <si>
    <t>Catastrophic</t>
  </si>
  <si>
    <t>—</t>
  </si>
  <si>
    <t>$1B+</t>
  </si>
  <si>
    <t>Toyota — Great East Japan Earthquake (2011) &amp; the RESCUE/BCP resilience programme</t>
  </si>
  <si>
    <t>Automotive Manufacturing / Supply Chain Resilience</t>
  </si>
  <si>
    <t>Toyota Motor Corporation — world's largest or second-largest automaker by volume</t>
  </si>
  <si>
    <t>Global output down 78% YoY in April 2011 (Matsuo 2015, citing Toyota data); net income down 77% for fiscal year ending March 2012</t>
  </si>
  <si>
    <t>Node 1 — Tier-1 suppliers (direct)</t>
  </si>
  <si>
    <t>Toyota's direct parts suppliers. Some in Tohoku; partially visible pre-2011. Several wiped out entirely.</t>
  </si>
  <si>
    <t>Node 2 — Tier-2 suppliers (sub-tier)</t>
  </si>
  <si>
    <t>Suppliers to Toyota's tier-1s. Almost completely invisible to Toyota pre-2011.</t>
  </si>
  <si>
    <t>Node 3 — Tier-3+ suppliers (deep sub-tier)</t>
  </si>
  <si>
    <t>Raw materials, specialty chemicals (hydrogen peroxide, nitrogen trifluoride), wafer inputs. Completely invisible.</t>
  </si>
  <si>
    <t>Node 4 — Renesas Electronics (key semi supplier)</t>
  </si>
  <si>
    <t>Automotive microcontroller units (MCUs) produced by Renesas and supplied via Denso (tier-1). Renesas Naka plant in Tohoku severely damaged.</t>
  </si>
  <si>
    <t>Node 5 — Toyota assembly plants (Japan)</t>
  </si>
  <si>
    <t>45% of Toyota vehicles built in Japan — highest Japan-concentration of any major OEM. Most closed for ~a month.</t>
  </si>
  <si>
    <t>Node 6 — Toyota plants (overseas)</t>
  </si>
  <si>
    <t>North American, European, Chinese assembly. Ran at 30% capacity for several weeks (shortage of 150+ parts from Japan).</t>
  </si>
  <si>
    <t>Node 8 — Dealers and end customers</t>
  </si>
  <si>
    <t>Toyota vehicle buyers worldwide. Lost supply, lost market share temporarily.</t>
  </si>
  <si>
    <t>Raw material / specialty chemical extraction and supply</t>
  </si>
  <si>
    <t>Tier-3+ / petrochemical suppliers</t>
  </si>
  <si>
    <t>Semiconductor (MCU) fabrication — Renesas Electronics</t>
  </si>
  <si>
    <t>Tier-2 semiconductor supplier</t>
  </si>
  <si>
    <t>MCU delivered to Denso and other tier-1 electronics suppliers</t>
  </si>
  <si>
    <t>Tier-1 suppliers</t>
  </si>
  <si>
    <t>Tier-1 parts assembled into sub-assemblies; delivered JIT to Toyota</t>
  </si>
  <si>
    <t>Toyota assembly plants receive JIT parts; assemble vehicles</t>
  </si>
  <si>
    <t>Toyota assembly (Japan)</t>
  </si>
  <si>
    <t>Finished vehicles shipped to dealers and customers (Japan + export)</t>
  </si>
  <si>
    <t>Toyota logistics / dealers</t>
  </si>
  <si>
    <t>Overseas plants receive Japan-sourced parts; assemble local vehicles</t>
  </si>
  <si>
    <t>Toyota assembly (overseas)</t>
  </si>
  <si>
    <t>RESCUE database activated: identify risk by address within half a day</t>
  </si>
  <si>
    <t>Post-2011 Toyota system</t>
  </si>
  <si>
    <t>Buffer stock (pre-2011)</t>
  </si>
  <si>
    <t>Near-zero — JIT system; hours to 1 day of parts on hand</t>
  </si>
  <si>
    <t>Sub-tier supplier visibility</t>
  </si>
  <si>
    <t>None below tier-1 — Toyota 'barely saw beyond tier-1 suppliers' pre-2011</t>
  </si>
  <si>
    <t>Disaster assessment time (pre-2011)</t>
  </si>
  <si>
    <t>~2 weeks to identify which parts were at risk</t>
  </si>
  <si>
    <t>Single-sourcing (semiconductors)</t>
  </si>
  <si>
    <t>Most MCUs single-sourced from Renesas via Denso; no qualified alternates</t>
  </si>
  <si>
    <t>Japan production concentration</t>
  </si>
  <si>
    <t>45% of vehicles built in Japan — highest of major OEMs</t>
  </si>
  <si>
    <t>Production loss (April 2011)</t>
  </si>
  <si>
    <t>78% YoY decline</t>
  </si>
  <si>
    <t>Net income loss (FY March 2012)</t>
  </si>
  <si>
    <t>Q4 FY2011 (Jan–Mar 2011) net income down 77% (¥112.2bn → ¥25.4bn); full FY2012 net income down ~30.5% (¥408.1bn → ¥283.5bn)</t>
  </si>
  <si>
    <t>Lean / low inventory cost under normal conditions</t>
  </si>
  <si>
    <t>Hours (JIT) — effectively zero buffer</t>
  </si>
  <si>
    <t>High (automotive manufacturing)</t>
  </si>
  <si>
    <t>Low (JIT minimises overstock)</t>
  </si>
  <si>
    <t>High pre-disruption; eroded during shortage</t>
  </si>
  <si>
    <t>High but unrecognised (hidden sub-tier concentration)</t>
  </si>
  <si>
    <t>High (TPS quality discipline)</t>
  </si>
  <si>
    <t>Medium (hybrid leadership; manufacturing footprint)</t>
  </si>
  <si>
    <t>Low-Medium (Toyota recycling programmes; early EV)</t>
  </si>
  <si>
    <t>11 March 2011, 14:46 JST: M9.0 earthquake off the Pacific coast of Tohoku; tsunami followed. Devastated northeastern Japan including Toyota's supplier network.</t>
  </si>
  <si>
    <t>Proximate: Tier-2 and tier-3 suppliers in Tohoku were wiped out; specialty chemical supply chains for semiconductor manufacturing were severed; Renesas Naka plant severely damaged. Structural: (1) JIT — near-zero inventory buffer meant any supply disruption immediately halted production. (2) Sub-tier invisibility — Toyota could not identify which parts were at risk or find alternatives because it had no sub-tier map. (3) Single-sourcing — most MCUs traced to a single Renesas plant with no qualified alternate. (4) Japan concentration — 45% of production in the disaster zone.</t>
  </si>
  <si>
    <t xml:space="preserve">All Japan assembly plants (closed ~1 month); overseas plants (30% capacity for weeks); Renesas MCU supply (3-month halt); ~150+ parts in shortage globally. 78% YoY decline in April 2011; North America at 30% for several weeks; 150+ parts in shortage; ~390,000 net vehicles lost (from ~1M initially estimated) combined impact of the 2011 earthquake and the 2011 Thailand floods. Net income down 77% for FY March 2012; likely knocked Toyota from world's largest automaker position temporarily (GM likely retook it in 2011). </t>
  </si>
  <si>
    <t>Exposed JIT's fatal fragility to rare, large-scale shocks. Forced a fundamental rethink of Toyota's entire supply-chain philosophy. Also compounded by the 2011 Thailand floods (~240,000 additional vehicles lost in FY2012).</t>
  </si>
  <si>
    <t>JIT near-zero buffers + sub-tier invisibility + single-sourcing + Japan geographic concentration = catastrophic vulnerability to a large regional disaster.</t>
  </si>
  <si>
    <t>(1) RESCUE: multi-tier supplier database. (2) BCP: mandated 2–6 month buffers for ~500 priority parts. (3) Multi-sourcing and design flexibility. (4) Supplier forecast-sharing (3-year plans). (5) BCP target: recovery in 2 weeks not 6 months. (6) Regular supplier RESCUE drills.</t>
  </si>
  <si>
    <t>Toyota asked all suppliers to map their own tier-2+ supply chains and feed data into RESCUE. BCP inventory requirements written into supplier contracts. Semiconductor review and alternative-assessment process embedded in procurement. Regular disaster-response exercises run with supplier network.</t>
  </si>
  <si>
    <t>Toyota can now assess a disaster's impact on its entire supplier network in half a day. The RESCUE + BCP combination gave Toyota a measurable advantage during the 2021 chip shortage.</t>
  </si>
  <si>
    <t>Early 2021: Toyota maintained production while GM and VW paused plants. Feb 2021 Fukushima aftershock: 'significantly lower impact than in 2011.' Full chip shortage: 40% Aug/Sept 2021 cut driven jointly by semiconductor shortage and COVID-19-related parts disruptions in Southeast Asia (Vietnam, Malaysia) — but bought ~6 months of uninterrupted advantage over rivals.</t>
  </si>
  <si>
    <t>Immediate task force + supplier triage</t>
  </si>
  <si>
    <t>Build RESCUE multi-tier supplier database</t>
  </si>
  <si>
    <t>Mandate BCP buffer stock (2–6 months)</t>
  </si>
  <si>
    <t>Multi-sourcing and design flexibility</t>
  </si>
  <si>
    <t>3-year supplier forecast sharing</t>
  </si>
  <si>
    <t>Regular RESCUE supplier training drills</t>
  </si>
  <si>
    <t>Geographic production diversification</t>
  </si>
  <si>
    <t>Abandon JIT entirely (counterfactual)</t>
  </si>
  <si>
    <t>Modified JIT (actual strategic choice)</t>
  </si>
  <si>
    <t>Establish task force; provide financial + technical support to affected suppliers; triage by criticality</t>
  </si>
  <si>
    <t>Map every part to every factory location across all tiers; address-based disaster search</t>
  </si>
  <si>
    <t>~500 priority parts: suppliers required to hold 2–6 months inventory; semis get 1–4 months</t>
  </si>
  <si>
    <t>Qualify multiple suppliers; design products to accept alternative chip specifications</t>
  </si>
  <si>
    <t>Share multi-year production plans; sometimes 3-year forecasts with semiconductor suppliers</t>
  </si>
  <si>
    <t>Disaster-response exercises with supplier network using RESCUE system</t>
  </si>
  <si>
    <t>Reduce Japan concentration; shift more production to regional markets</t>
  </si>
  <si>
    <t>Revert to traditional large-buffer inventory across all parts</t>
  </si>
  <si>
    <t>Keep JIT for low-risk parts; add buffers only for critical/hard-to-substitute items (kaizen framing)</t>
  </si>
  <si>
    <t>Medium (data collection)</t>
  </si>
  <si>
    <t>Medium-High (suppliers' inventory cost)</t>
  </si>
  <si>
    <t>Med-High (qualification cost)</t>
  </si>
  <si>
    <t>Low (admin)</t>
  </si>
  <si>
    <t>Low (time)</t>
  </si>
  <si>
    <t>Very High (capex)</t>
  </si>
  <si>
    <t>Very High (ongoing)</t>
  </si>
  <si>
    <t>Medium (selective buffers)</t>
  </si>
  <si>
    <t>Years to build fully</t>
  </si>
  <si>
    <t>Long (contractual)</t>
  </si>
  <si>
    <t>Ongoing</t>
  </si>
  <si>
    <t>Very Long</t>
  </si>
  <si>
    <t>Med (storage)</t>
  </si>
  <si>
    <t>High (overstock)</t>
  </si>
  <si>
    <t>Med (selective)</t>
  </si>
  <si>
    <t>Reduced structural</t>
  </si>
  <si>
    <t>Reduced (supplier planning)</t>
  </si>
  <si>
    <t>Reduced (activation speed)</t>
  </si>
  <si>
    <t>Reduced (geographic risk)</t>
  </si>
  <si>
    <t>Reduced (blunt)</t>
  </si>
  <si>
    <t>Reduced optimal</t>
  </si>
  <si>
    <t>Partial</t>
  </si>
  <si>
    <t>Negative</t>
  </si>
  <si>
    <t>Slightly neg.</t>
  </si>
  <si>
    <t>Any disaster — speed of triage determines recovery speed</t>
  </si>
  <si>
    <t>After a disaster reveals sub-tier blindness</t>
  </si>
  <si>
    <t>Critical, non-substitutable, single-sourced parts</t>
  </si>
  <si>
    <t>Single-source critical components — semiconductor case</t>
  </si>
  <si>
    <t>Strategic supplier relationships where visibility matters</t>
  </si>
  <si>
    <t>Any large supplier network — practise before the crisis</t>
  </si>
  <si>
    <t>Extreme geographic concentration in a high-risk seismic region</t>
  </si>
  <si>
    <t>Not recommended — eliminates the efficiency that funds the resilience investment</t>
  </si>
  <si>
    <t>The optimal balance between efficiency and resilience — Toyota's actual answer</t>
  </si>
  <si>
    <t>Years</t>
  </si>
  <si>
    <t>Reduced- struct.</t>
  </si>
  <si>
    <t>Reduced- activation</t>
  </si>
  <si>
    <t>Reduced- blunt</t>
  </si>
  <si>
    <t>Reduced- optimal</t>
  </si>
  <si>
    <t xml:space="preserve">10
</t>
  </si>
  <si>
    <t xml:space="preserve">15
</t>
  </si>
  <si>
    <t xml:space="preserve">16
</t>
  </si>
  <si>
    <t>AI-powered sub-tier visibility platform</t>
  </si>
  <si>
    <t>Climate risk scoring for supplier facility locations</t>
  </si>
  <si>
    <t>Digital twin of the full supply network</t>
  </si>
  <si>
    <t>Strategic buffer pooling with industry peers</t>
  </si>
  <si>
    <t>Predictive seismic risk modelling for facility siting</t>
  </si>
  <si>
    <t>Supplier financial health early-warning system</t>
  </si>
  <si>
    <t>Government-industry data sharing framework for disaster response</t>
  </si>
  <si>
    <t>Build an ML platform that maps every part to every supplier at every tier in real time, auto-updating when suppliers change</t>
  </si>
  <si>
    <t>Assign a climate risk score (flood, earthquake, tsunami, typhoon) to every supplier facility; use in dual-sourcing decisions</t>
  </si>
  <si>
    <t>Simulate the entire Toyota supply chain as a live digital twin; run disruption scenarios automatically when new risks appear</t>
  </si>
  <si>
    <t>Pool critical component buffers (semiconductors, P-valves) with other OEMs to share cost of strategic stock</t>
  </si>
  <si>
    <t>Use geological AI to model 50-year seismic risk before approving new supplier facilities in Japan</t>
  </si>
  <si>
    <t>Monitor supplier financial signals (credit ratings, payment delays, order reductions) to flag at-risk suppliers before they fail</t>
  </si>
  <si>
    <t>Establish a pre-agreed data-sharing protocol with METI and local governments to share supplier location and capacity data during national disasters</t>
  </si>
  <si>
    <t>After discovering sub-tier blindness is the core vulnerability; the RESCUE database was manual — AI makes it continuous</t>
  </si>
  <si>
    <t>When geographic clustering of suppliers in high-risk zones (Tohoku) is the structural vulnerability</t>
  </si>
  <si>
    <t>When manual assessment takes weeks; a digital twin compresses scenario planning to hours</t>
  </si>
  <si>
    <t>When buffer stock costs are prohibitive for one company but shared across 3–5 OEMs become manageable</t>
  </si>
  <si>
    <t>Before new supplier factories are sited; retrofit is expensive but forward-looking siting is low cost</t>
  </si>
  <si>
    <t>When supplier financial stress (not natural disaster) is the primary disruption risk; applies equally to all cases</t>
  </si>
  <si>
    <t>When national-scale disasters require cross-company coordination that no single firm can achieve alone</t>
  </si>
  <si>
    <t>Buffer stock</t>
  </si>
  <si>
    <t>Sub-tier visibility</t>
  </si>
  <si>
    <t>Disaster assessment time</t>
  </si>
  <si>
    <t>Semiconductor risk</t>
  </si>
  <si>
    <t>Production loss</t>
  </si>
  <si>
    <t>BCP Target</t>
  </si>
  <si>
    <t>None below tier-1</t>
  </si>
  <si>
    <t>~2 weeks</t>
  </si>
  <si>
    <t>Unrecognised (single-source)</t>
  </si>
  <si>
    <t>78% (shock)</t>
  </si>
  <si>
    <t>77% profit drop</t>
  </si>
  <si>
    <t>Blind</t>
  </si>
  <si>
    <t>2 weeks (too slow)</t>
  </si>
  <si>
    <t>Realised — Renesas halt</t>
  </si>
  <si>
    <t>78% April 2011</t>
  </si>
  <si>
    <t>77% net income drop</t>
  </si>
  <si>
    <t>KFC UK — 2018 Chicken Shortage: Single-DC logistics failure and crisis recovery</t>
  </si>
  <si>
    <t>Food &amp; QSR (Quick Service Restaurant) / Logistics &amp; Distribution</t>
  </si>
  <si>
    <t>KFC (Kentucky Fried Chicken) is a global fast-food chain owned by Yum! Brands. The UK is KFC's fifth largest market globally, contributing ~6% of its US$24.5bn global sales (2017). The UK has the largest fast-food chicken market in Europe. KFC UK operates ~900 restaurants, ~95% franchised.</t>
  </si>
  <si>
    <t>~900 UK/Ireland restaurants; ~500 fresh-chicken farmers supplying the UK network; UK turnover £445.7M (2017 pre-crisis).</t>
  </si>
  <si>
    <t>Node 1 — Fresh-chicken farmers (~500)</t>
  </si>
  <si>
    <t>Network of UK farms supplying fresh chickens daily to KFC. No buffer — birds are raised to a production schedule.</t>
  </si>
  <si>
    <t>Node 2 — Chicken processing plants</t>
  </si>
  <si>
    <t>Slaughterhouses and processors converting live birds to portioned fresh chicken for KFC.</t>
  </si>
  <si>
    <t>Node 3 — DHL Rugby depot (single DC)</t>
  </si>
  <si>
    <t>NEW: one warehouse in Rugby handling ALL 900 UK/Ireland stores from day 1. Unregistered for food storage, undertrained staff, new IT system.</t>
  </si>
  <si>
    <t>Node 4 — Bidvest (former 6-DC network)</t>
  </si>
  <si>
    <t>FORMER: Bidvest used 6 warehouses across the UK; specialist food-distribution experience; had handled KFC for years.</t>
  </si>
  <si>
    <t>Node 5 — Distribution routes / roads</t>
  </si>
  <si>
    <t>M6 motorway near Rugby; road network connecting the single depot to 900 stores.</t>
  </si>
  <si>
    <t>Node 6 — KFC restaurants (~900)</t>
  </si>
  <si>
    <t>Franchised restaurants; daily fresh-chicken delivery required; zero buffer stock (JIT food model).</t>
  </si>
  <si>
    <t>Node 7 — Franchise owners</t>
  </si>
  <si>
    <t>Independent business owners operating KFC stores; had no role in the logistics decision.</t>
  </si>
  <si>
    <t>Node 8 — KFC customers / public</t>
  </si>
  <si>
    <t>UK consumers; largest fast-food chicken market in Europe; strong emotional attachment to the brand.</t>
  </si>
  <si>
    <t>Farmers raise and deliver fresh chickens on a production schedule</t>
  </si>
  <si>
    <t>N1 Farmers → N2 Processing</t>
  </si>
  <si>
    <t>Processors portion and package fresh chicken to KFC specification</t>
  </si>
  <si>
    <t>N2 Processing → N3 DC</t>
  </si>
  <si>
    <t>DC (Rugby) receives, stores (chilled) and picks orders for each restaurant</t>
  </si>
  <si>
    <t>N3 DHL DC</t>
  </si>
  <si>
    <t>Trucks depart DC nightly for next-day delivery to restaurants</t>
  </si>
  <si>
    <t>N3 DC → N6 Restaurants</t>
  </si>
  <si>
    <t>Restaurants receive chilled delivery; prepare and serve chicken</t>
  </si>
  <si>
    <t>N6 Restaurants → N8 Customers</t>
  </si>
  <si>
    <t>Franchisees place next-day orders through DHL/QSL IT system</t>
  </si>
  <si>
    <t>N7 Franchisees → N3 DC</t>
  </si>
  <si>
    <t>KFC corporate monitors sales and supply; adjusts allocations</t>
  </si>
  <si>
    <t>KFC corporate → N3 DC</t>
  </si>
  <si>
    <t>Lower contract price (DHL) vs Bidvest</t>
  </si>
  <si>
    <t>Daily fresh delivery required (JIT food)</t>
  </si>
  <si>
    <t>Medium (road distribution network)</t>
  </si>
  <si>
    <t>Very high during crisis — chicken spoiling in depot/trucks (wrong temp settings, driver delays)</t>
  </si>
  <si>
    <t>Crashed to −17% net sentiment; recovered to +31% by end 2018</t>
  </si>
  <si>
    <t>Very high unrecognised — single DC, new operator, no contingency, no transition overlap</t>
  </si>
  <si>
    <t>Normal pre-crisis; chilled food spoilage during crisis</t>
  </si>
  <si>
    <t>High waste impact — ~500 farmers' supply stranded; spoilage throughout the system</t>
  </si>
  <si>
    <t>Low — food waste is the primary circular concern here</t>
  </si>
  <si>
    <t>Stores open (normal)</t>
  </si>
  <si>
    <t>~870–900 UK/Ireland</t>
  </si>
  <si>
    <t>Stores open (crisis peak)</t>
  </si>
  <si>
    <t>~330–430 open of ~900 (~37–48% open) at reported peak dates (19–20 Feb 2018)</t>
  </si>
  <si>
    <t>Revenue loss</t>
  </si>
  <si>
    <t>~£1M/day at peak closure</t>
  </si>
  <si>
    <t>Same-store sales growth</t>
  </si>
  <si>
    <t>−6.8% for the year</t>
  </si>
  <si>
    <t>Profit after tax (2017 → 2018)</t>
  </si>
  <si>
    <t>£171.9M → £129.9M (−27.8%)</t>
  </si>
  <si>
    <t>Market share pre-crisis</t>
  </si>
  <si>
    <t>7.3% (2017)</t>
  </si>
  <si>
    <t>Market share post-recovery</t>
  </si>
  <si>
    <t>8.1% (2019) — higher than before</t>
  </si>
  <si>
    <t>Distribution nodes (Bidvest)</t>
  </si>
  <si>
    <t>6 warehouses across UK</t>
  </si>
  <si>
    <t>Distribution nodes (DHL)</t>
  </si>
  <si>
    <t>1 warehouse (Rugby)</t>
  </si>
  <si>
    <t>14 February 2018 (Valentine's Day): DHL goes live as KFC UK's sole logistics provider. At ~01:40, a 7-vehicle collision on the M6 near Rugby blocks the motorway. A second accident involving two lorries follows shortly after at a nearby junction. All outbound routes from the single Rugby depot are blocked on day one.</t>
  </si>
  <si>
    <t>Six Bidvest warehouses replaced by one DHL depot. No transition overlap. No contingency plan. DHL lacked chilled-food domain expertise. Staff undertrained. IT system untested at scale. Cold storage unregistered with the council. A foreseeable road event near Rugby exposed zero resilience. Road accidents on the M6 near Rugby blocked all truck movements from the single DHL distribution centre on its first day of operation. (1) Incorrect temperature regulators in trailers → chicken spoiling. (2) DHL depot unregistered for food storage with Rugby Borough Council. (3) New IT/QSL system untested. (4) No reversion plan — Bidvest had already laid off 255 staff and wound down operations. (5) ~500 farmers' supply stranded upstream.</t>
  </si>
  <si>
    <t>Day 1: routes blocked. Day 2–3: restaurants begin closing.~330–430 open of ~900 (~37–48% open) at reported peak dates (19–20 Feb 2018)</t>
  </si>
  <si>
    <t>Near-total UK restaurant closure; ~£1M/day revenue loss; franchisee income destroyed; 500 farmers' supply wasted; brand crisis; police fielding calls about chicken shortages; global media coverage.</t>
  </si>
  <si>
    <t>Wait for DHL to fix the problem</t>
  </si>
  <si>
    <t>Rehire Bidvest for partial network</t>
  </si>
  <si>
    <t>Run 24/7 delivery operations</t>
  </si>
  <si>
    <t>Publish live open-store list / microsite</t>
  </si>
  <si>
    <t>FCK apology campaign (print + social)</t>
  </si>
  <si>
    <t>Pause all advertising</t>
  </si>
  <si>
    <t>Return to multi-DC model (long-term)</t>
  </si>
  <si>
    <t>Build supplier transition testing plans</t>
  </si>
  <si>
    <t>Partner with Booker/Tesco (2020)</t>
  </si>
  <si>
    <t>Develop internal logistics competency</t>
  </si>
  <si>
    <t>Trust DHL to resolve its own failure</t>
  </si>
  <si>
    <t>Bring back the proven supplier for ~350 Northern England restaurants</t>
  </si>
  <si>
    <t>DHL operates the depot 24/7 to clear the backlog</t>
  </si>
  <si>
    <t>Real-time website showing which stores are open; updated daily</t>
  </si>
  <si>
    <t>Full-page ad in Sun/Metro; humility/humour/honesty; took full accountability; did not blame DHL</t>
  </si>
  <si>
    <t>Stop all KFC UK advertising during the crisis</t>
  </si>
  <si>
    <t>End single-hub; multi-supplier; multi-warehouse; backup routes</t>
  </si>
  <si>
    <t>Mandate parallel-run periods and scenario testing for any future logistics transition</t>
  </si>
  <si>
    <t>Add a second distribution partner with national coverage for additional redundancy</t>
  </si>
  <si>
    <t>Build in-house logistics expertise at the board/executive level so KFC cannot be blind-sided by a supplier's capabilities</t>
  </si>
  <si>
    <t>Low (short-term)</t>
  </si>
  <si>
    <t>Medium-High (re-onboarding)</t>
  </si>
  <si>
    <t>High (overtime)</t>
  </si>
  <si>
    <t>Low (media buy)</t>
  </si>
  <si>
    <t>High (restructuring)</t>
  </si>
  <si>
    <t>Medium (talent)</t>
  </si>
  <si>
    <t>Crisis deepened daily</t>
  </si>
  <si>
    <t>Improved for Bidvest stores</t>
  </si>
  <si>
    <t>Reduced partial</t>
  </si>
  <si>
    <t>Reduced (frustration)</t>
  </si>
  <si>
    <t>Reduced reput. damage</t>
  </si>
  <si>
    <t>Collapsed</t>
  </si>
  <si>
    <t>Improving</t>
  </si>
  <si>
    <t>Increased (managed exp.)</t>
  </si>
  <si>
    <t>Increased (brand recovery)</t>
  </si>
  <si>
    <t>Never — DHL lacked the capability; waiting destroyed franchisee revenue daily</t>
  </si>
  <si>
    <t>When the new provider is clearly unable to deliver and the old one is available</t>
  </si>
  <si>
    <t>When backlog is recoverable and staff capacity allows surge</t>
  </si>
  <si>
    <t>Immediately when closures are widespread — reduces customer wasted journeys</t>
  </si>
  <si>
    <t>When the mistake is publicly known and blame-shifting would make it worse; requires brand voice consistency</t>
  </si>
  <si>
    <t>Immediately — advertising during a product shortage is tone-deaf and generates backlash</t>
  </si>
  <si>
    <t>After single-node failure — the structural fix that should have been the original model</t>
  </si>
  <si>
    <t>Before ANY logistics provider change — should have been standard before DHL go-live</t>
  </si>
  <si>
    <t>When distribution reliability is a strategic competitive differentiator</t>
  </si>
  <si>
    <t>Logistics is a core competency in food service — outsourcing does not outsource the knowledge requirement</t>
  </si>
  <si>
    <t>Crisis deepened</t>
  </si>
  <si>
    <t>Improved (350 stores)</t>
  </si>
  <si>
    <t>Reduced- partial</t>
  </si>
  <si>
    <t>Reduced-</t>
  </si>
  <si>
    <t>Reduced- frustration</t>
  </si>
  <si>
    <t>Increased- managed</t>
  </si>
  <si>
    <t>Reduced- reput.</t>
  </si>
  <si>
    <t>Increased- brand</t>
  </si>
  <si>
    <t>Reduced- damage</t>
  </si>
  <si>
    <t>Mandatory dual-DC model for chilled food</t>
  </si>
  <si>
    <t>Parallel-run transition protocol (minimum 8 weeks)</t>
  </si>
  <si>
    <t>Cold-chain IoT sensor monitoring</t>
  </si>
  <si>
    <t>AI route optimisation with automatic rerouting</t>
  </si>
  <si>
    <t>Supplier transition insurance</t>
  </si>
  <si>
    <t>Require minimum two distribution centres for any chilled food network — no single node can serve the entire UK</t>
  </si>
  <si>
    <t>Mandate that any logistics provider change runs old and new systems in parallel for at least 8 weeks before cutover</t>
  </si>
  <si>
    <t>Install IoT temperature and humidity sensors in every trailer and DC; trigger automatic alerts if cold chain breaks</t>
  </si>
  <si>
    <t>Deploy AI routing that detects road closures, accidents and traffic in real time and automatically rereroutes trucks</t>
  </si>
  <si>
    <t>Purchase specific logistics-transition insurance that covers lost franchisee revenue during a planned provider change</t>
  </si>
  <si>
    <t>Before any logistics contract change; non-negotiable for perishable supply chains</t>
  </si>
  <si>
    <t>Before ANY distribution network transition — the hardest lesson from KFC: never go live without overlap</t>
  </si>
  <si>
    <t>When chilled food spoilage during distribution represents both food waste and brand risk</t>
  </si>
  <si>
    <t>When a single road incident near a sole DC can halt all deliveries — the M6 scenario must be pre-planned</t>
  </si>
  <si>
    <t>Whenever a major logistics change is planned; premium is small relative to £1M/day exposure</t>
  </si>
  <si>
    <t>Stores open</t>
  </si>
  <si>
    <t>Revenue/day</t>
  </si>
  <si>
    <t>Cust. sentiment</t>
  </si>
  <si>
    <t>Brand share</t>
  </si>
  <si>
    <t>DC nodes</t>
  </si>
  <si>
    <t>Resiliences</t>
  </si>
  <si>
    <t>~870 (~100%)</t>
  </si>
  <si>
    <t>~£1.2M+</t>
  </si>
  <si>
    <t>Stable (7.3% share)</t>
  </si>
  <si>
    <t>7.3%</t>
  </si>
  <si>
    <t>6 warehouses</t>
  </si>
  <si>
    <t>Bidvest (food specialist)</t>
  </si>
  <si>
    <t>266 (~30%)</t>
  </si>
  <si>
    <t>~£0M (closed stores)</t>
  </si>
  <si>
    <t>−17% net sentiment</t>
  </si>
  <si>
    <t>Falling</t>
  </si>
  <si>
    <t>1 Rugby depot</t>
  </si>
  <si>
    <t>DHL (day 1 failure)</t>
  </si>
  <si>
    <t>Very High (spoilage)</t>
  </si>
  <si>
    <t>Restoring</t>
  </si>
  <si>
    <t>~£0.8M+</t>
  </si>
  <si>
    <t>Recovering</t>
  </si>
  <si>
    <t>DHL + Bidvest (split)</t>
  </si>
  <si>
    <t>Dual (emergency)</t>
  </si>
  <si>
    <t>Reducing</t>
  </si>
  <si>
    <t>Low-Medium</t>
  </si>
  <si>
    <t>~900 (full)</t>
  </si>
  <si>
    <t>Full recovery</t>
  </si>
  <si>
    <t>+31% / 8.1% share</t>
  </si>
  <si>
    <t>8.1% (record)</t>
  </si>
  <si>
    <t>Multi-DC + Booker</t>
  </si>
  <si>
    <t>Bidvest + Booker/Tesco</t>
  </si>
  <si>
    <t>High(Multi-Node)</t>
  </si>
  <si>
    <t>Firestone/Ford — ATX &amp; Wilderness AT tire recall (2000): tread separation, fatalities and the TREAD Act</t>
  </si>
  <si>
    <t>Automotive / Tire Manufacturing / Consumer Product Safety</t>
  </si>
  <si>
    <t>Firestone (Bridgestone/Firestone Inc.) — one of the largest tire makers in the world; acquired by Japan's Bridgestone in 1988. Ford Motor Company — one of the world's largest automakers. The two companies had a near-century-old relationship dating to Harvey Firestone and Henry Ford's personal friendship in 1906.</t>
  </si>
  <si>
    <t>Firestone Radial ATX, ATX II and Wilderness AT tires (primarily P235/75R15 size). Mounted as original equipment on Ford Explorer, Ford Ranger, Ford F-150, Mercury Mountaineer, Mazda Navajo and Mazda B-series.</t>
  </si>
  <si>
    <t>Node 1 — Raw materials (rubber, steel belt, chemicals)</t>
  </si>
  <si>
    <t>Inputs to tire manufacturing. Belt-edge rubber compound and inner liner specifications were central to the failure mode.</t>
  </si>
  <si>
    <t>Node 2 — Firestone manufacturing (Decatur IL primary)</t>
  </si>
  <si>
    <t>Firestone Fab 22 (Decatur IL) produced ATX/Wilderness AT tires at a significantly higher failure rate than Wilson NC and Joliette Quebec plants making the same model.</t>
  </si>
  <si>
    <t>Node 3 — Quality control / warranty systems</t>
  </si>
  <si>
    <t>Firestone's warranty-claims database recorded thousands of tread-separation failures from 1996. Systematically misattributed to consumer error.</t>
  </si>
  <si>
    <t>Node 4 — Ford vehicle design (Explorer)</t>
  </si>
  <si>
    <t>Ford's Explorer design: high centre of gravity (rollover risk); Ford recommended 26 psi tire inflation (vs Firestone's 30 psi) to reduce rollover tendency.</t>
  </si>
  <si>
    <t>Node 5 — Dealer / installer network</t>
  </si>
  <si>
    <t>New-vehicle dealers and tire retailers installing the tires on Explorers and trucks.</t>
  </si>
  <si>
    <t>Node 6 — NHTSA (regulator)</t>
  </si>
  <si>
    <t>National Highway Traffic Safety Administration responsible for vehicle and tire safety. Hotline complaints were suppressed by plaintiff attorneys; overseas data not reported by Ford.</t>
  </si>
  <si>
    <t>Node 7 — Consumers / drivers</t>
  </si>
  <si>
    <t>Owners of ~6.5M recalled tires; most in hot southern states (California, Arizona, Texas, Florida) where heat amplified the failure.</t>
  </si>
  <si>
    <t>Raw materials sourced and compounded for tire manufacturing</t>
  </si>
  <si>
    <t>N1 Raw materials → N2 Manufacturing</t>
  </si>
  <si>
    <t>Tires manufactured at Decatur IL (primary), Wilson NC, Joliette QC</t>
  </si>
  <si>
    <t>N2 Firestone manufacturing</t>
  </si>
  <si>
    <t>Quality control and warranty-claims tracking at Firestone</t>
  </si>
  <si>
    <t>N3 QC / warranty systems</t>
  </si>
  <si>
    <t>Tires shipped to Ford and other OEMs as original equipment</t>
  </si>
  <si>
    <t>N2 → N4 Ford / OEM fitment</t>
  </si>
  <si>
    <t>Ford designs Explorer with 26 psi inflation recommendation (vs Firestone's 30 psi)</t>
  </si>
  <si>
    <t>N4 Ford vehicle design</t>
  </si>
  <si>
    <t>Tires fitted to Explorers at assembly; sold through dealer network</t>
  </si>
  <si>
    <t>N5 Dealer / installer</t>
  </si>
  <si>
    <t>Consumers drive in hot climates; tread separates at highway speed; Explorer rolls over</t>
  </si>
  <si>
    <t>N7 Consumers — failure mode</t>
  </si>
  <si>
    <t>Warranty claims filed; attorneys aware; NHTSA hotline NOT used; overseas recalls NOT reported</t>
  </si>
  <si>
    <t>N3/N6/N8 — suppression nodes</t>
  </si>
  <si>
    <t>Tires in recall (initial)</t>
  </si>
  <si>
    <t>6.5 million (of 14.4M produced)</t>
  </si>
  <si>
    <t>Tires in extended recall (Ford, 2001)</t>
  </si>
  <si>
    <t>13 million Wilderness AT</t>
  </si>
  <si>
    <t>US fatalities attributed</t>
  </si>
  <si>
    <t>271 (as of Sept 2001) NHTSA's count rose repeatedly (119→148→174→203→271, late 2000–Sept 2001); some later secondary sources (e.g., current Wikipedia) cite 238 for US deaths depending on cutoff/methodology</t>
  </si>
  <si>
    <t>US injuries attributed</t>
  </si>
  <si>
    <t>500+</t>
  </si>
  <si>
    <t>International fatalities</t>
  </si>
  <si>
    <t>46 (Venezuela) + others</t>
  </si>
  <si>
    <t>Years of known risk before mass recall</t>
  </si>
  <si>
    <t>~4–6 years, depending on start point (1996 Arizona warning vs. 1997-98 internal overseas testing awareness)</t>
  </si>
  <si>
    <t>Decatur failure rate vs other plants</t>
  </si>
  <si>
    <t>Significantly higher (primary evidence of plant-level QC failure)</t>
  </si>
  <si>
    <t>Ford inflation recommendation</t>
  </si>
  <si>
    <t>26 psi</t>
  </si>
  <si>
    <t>Wilderness AT heat rating</t>
  </si>
  <si>
    <t>Grade C (lowest allowed by NHTSA UTQG)</t>
  </si>
  <si>
    <t>Ford Explorer lawsuits settled</t>
  </si>
  <si>
    <t>~1,500 cases</t>
  </si>
  <si>
    <t>Cost (Firestone)</t>
  </si>
  <si>
    <t>Market share collapse; Decatur closure; hundreds of millions in settlements. Analyst estimates ranged from $719M–$2.7B (UBS Warburg); Bridgestone set aside $450M + wrote off $900M in special losses in 2000 alone.</t>
  </si>
  <si>
    <t>Cost (Ford)</t>
  </si>
  <si>
    <t>Extended recall; 100-year relationship ended; brand damage; settlements</t>
  </si>
  <si>
    <t>Lead Time (tire design cycle)</t>
  </si>
  <si>
    <t>Multi-year (design → production → field)</t>
  </si>
  <si>
    <t>Not material to this case</t>
  </si>
  <si>
    <t>Millions of disposed tires; vehicle recalls</t>
  </si>
  <si>
    <t>Catastrophically low — 271 deaths; public loss of trust</t>
  </si>
  <si>
    <t>Very High — realised catastrophically; suppressed signals delayed action 4 years</t>
  </si>
  <si>
    <t>Quality (Decatur)</t>
  </si>
  <si>
    <t>Very Low — defective batch design + manufacturing inconsistency</t>
  </si>
  <si>
    <t>Not primary to case; tire disposal at scale is an environmental issue</t>
  </si>
  <si>
    <t>Low — mass tire recall creates disposal burden</t>
  </si>
  <si>
    <t>Media investigation: In early 2000, Houston TV station KHOU ran an investigative report on Firestone tire failures and Explorer rollovers. The Chicago Sun-Times and New York Times followed. Media pressure forced NHTSA to open a formal investigation (PE00-020) on May 2, 2000 — the actual trigger was journalism, not company or regulator action.</t>
  </si>
  <si>
    <t>Root cause (technical)</t>
  </si>
  <si>
    <t>Tread separation: belt-edge rubber compound in ATX/Wilderness AT tires separated under heat, load and speed. Heat (hot climates, high speed, heavy load) accelerated belt-edge oxidation. Firestone's 1993 Wilderness AT design had a Grade C heat rating — the minimum allowed. The Decatur plant's manufacturing process produced tires with higher internal defect rates than sister plants. Decatur defect rate spike coincides with 1994–1996 labor dispute period (replacement workers); tires from that period were ~15x more likely to generate a claim than tires from other plants.</t>
  </si>
  <si>
    <t>Root cause (structural — Firestone)</t>
  </si>
  <si>
    <t>Warranty-claims data suppressed (attributed to consumer misuse). No proactive investigation. Overseas warning signs (1996 Arizona; 1998 Ford overseas complaints; 1998 State Farm insurance data) ignored. Firestone sent engineers to Arizona in 1996, concluded 'normal passenger tires being used in heavy conditions' — a coverup conclusion.</t>
  </si>
  <si>
    <t>Root cause (structural — Ford)</t>
  </si>
  <si>
    <t>Ford recommended 26 psi vs Firestone's 30 psi — increasing thermal stress on the tire. Ford began replacing Firestone tires in overseas markets (Venezuela, Saudi Arabia, Thailand) in late 1999 without notifying NHTSA — a legal violation. Ford used Firestone as sole-source original equipment without independent quality verification.</t>
  </si>
  <si>
    <t>Root cause (systemic)</t>
  </si>
  <si>
    <t>System-level interaction: the Explorer's rollover tendency (high CoG) + Firestone tread separation = fatalities. Neither failure mode alone was necessarily lethal; together they were. Neither company tested the system-level interaction.</t>
  </si>
  <si>
    <t>Suppression mechanism</t>
  </si>
  <si>
    <t>Plaintiff attorneys stopped using the NHTSA hotline (feared investigation would compromise lawsuits). Firestone suppressed warranty data. Ford did not disclose overseas replacements. NHTSA was blind from multiple directions simultaneously. Of 271 US deaths, 258 occurred after 1996 — after the problem was already known.</t>
  </si>
  <si>
    <t>~6.5M initial recall + 13M extended coinciding with Firestone formally severing its 100-year OEM supply relationship with Ford; 271 US deaths; Firestone market share collapse; 100-year Ford–Firestone relationship ended permanently; TREAD Act passed; industry-wide supplier-quality practices reformed.</t>
  </si>
  <si>
    <t>Deny and attribute to consumer error</t>
  </si>
  <si>
    <t>Replace tires overseas without notifying NHTSA</t>
  </si>
  <si>
    <t>Commission NHTSA formal investigation</t>
  </si>
  <si>
    <t>Issue voluntary recall (6.5M tires)</t>
  </si>
  <si>
    <t>Extend recall to 13M Wilderness AT (unilateral)</t>
  </si>
  <si>
    <t>Congressional investigation and public testimony</t>
  </si>
  <si>
    <t>Pass TREAD Act — early warning reporting</t>
  </si>
  <si>
    <t>Implement TPMS — hardware mandate</t>
  </si>
  <si>
    <t>Plant-level quality traceability (systemic)</t>
  </si>
  <si>
    <t>System-level product testing (tire + vehicle)</t>
  </si>
  <si>
    <t>Attribute all warranty claims to improper inflation, off-road use, overloading</t>
  </si>
  <si>
    <t>Replace Firestone tires on Explorers in Venezuela, Saudi Arabia, Thailand without US disclosure</t>
  </si>
  <si>
    <t>NHTSA opens formal investigation PE00-020 after media pressure</t>
  </si>
  <si>
    <t>Recall ATX/ATXII and Decatur Wilderness AT tires; phase by geography; replace with competitors if necessary</t>
  </si>
  <si>
    <t>Replace ALL Wilderness AT tires on Ford vehicles regardless of plant</t>
  </si>
  <si>
    <t>Public hearings; CEO testimony; document production; revealed 1996 knowledge</t>
  </si>
  <si>
    <t>Mandate proactive disclosure of safety-defect patterns; international recall disclosure; TPMS</t>
  </si>
  <si>
    <t>Tyre Pressure Monitoring Systems in all new US passenger vehicles</t>
  </si>
  <si>
    <t>Trace every tire to manufacturing cell, shift, batch — enable precise defect identification by production source</t>
  </si>
  <si>
    <t>Test critical safety components in the actual vehicle operating context — not in isolation</t>
  </si>
  <si>
    <t>Very Low (short-term)</t>
  </si>
  <si>
    <t>Low (regulatory)</t>
  </si>
  <si>
    <t>High (recall logistics)</t>
  </si>
  <si>
    <t>Low (political)</t>
  </si>
  <si>
    <t>Low (legislation)</t>
  </si>
  <si>
    <t>Medium (per vehicle)</t>
  </si>
  <si>
    <t>Medium (infrastructure)</t>
  </si>
  <si>
    <t>Crisis delayed — deaths continued</t>
  </si>
  <si>
    <t>Danger continued in US</t>
  </si>
  <si>
    <t>Critical path to recall</t>
  </si>
  <si>
    <t>Critical path</t>
  </si>
  <si>
    <t>Long (implementation)</t>
  </si>
  <si>
    <t>Long (production cycle)</t>
  </si>
  <si>
    <t>MAXIMISED (catastrophic)</t>
  </si>
  <si>
    <t>MAXIMISED (US)</t>
  </si>
  <si>
    <t>ReducedReduced formal</t>
  </si>
  <si>
    <t>ReducedReduced struct.</t>
  </si>
  <si>
    <t>ReducedReduced (future)</t>
  </si>
  <si>
    <t>Destroyed</t>
  </si>
  <si>
    <t>Maintained overseas</t>
  </si>
  <si>
    <t>Very Low (US)</t>
  </si>
  <si>
    <t>Increased (public)</t>
  </si>
  <si>
    <t>Increased (public trust)</t>
  </si>
  <si>
    <t>Low (batteries)</t>
  </si>
  <si>
    <t>Low (materials)</t>
  </si>
  <si>
    <t>Never — suppression converts a manageable recall into a criminal liability</t>
  </si>
  <si>
    <t>Never — overseas replacement without domestic disclosure is illegal and unconscionable</t>
  </si>
  <si>
    <t>When safety data patterns meet the threshold for formal inquiry — should have happened in 1997–98</t>
  </si>
  <si>
    <t>When defect is confirmed and public safety at risk — should have happened in 1996–97</t>
  </si>
  <si>
    <t>When the initial recall scope is insufficient and the OEM has independent evidence — terminated the Firestone relationship</t>
  </si>
  <si>
    <t>When corporate disclosure is inadequate and public safety demands accountability</t>
  </si>
  <si>
    <t>After a systemic regulatory information failure kills hundreds of people</t>
  </si>
  <si>
    <t>After the inflation-contribution to tread separation is documented — a direct engineering response to a specific failure mode</t>
  </si>
  <si>
    <t>After Decatur shows plant-level inconsistency is invisible without granular traceability</t>
  </si>
  <si>
    <t>Always for safety-critical OEM-supplier component interactions — the failure mode required both defects to be present</t>
  </si>
  <si>
    <t>Very Low (temp)</t>
  </si>
  <si>
    <t>Deaths continued</t>
  </si>
  <si>
    <t>MAXIMISED</t>
  </si>
  <si>
    <t>US danger continued</t>
  </si>
  <si>
    <t>MAXIMISED US</t>
  </si>
  <si>
    <t>Maintained OS</t>
  </si>
  <si>
    <t>Very Low US</t>
  </si>
  <si>
    <t>Increased trust</t>
  </si>
  <si>
    <t>ReducedReduced future</t>
  </si>
  <si>
    <t>AI-powered warranty-data anomaly detection</t>
  </si>
  <si>
    <t>Plant-level manufacturing traceability (batch+machine)</t>
  </si>
  <si>
    <t>Mandatory international recall cross-reporting</t>
  </si>
  <si>
    <t>System-level OEM-supplier joint testing protocol</t>
  </si>
  <si>
    <t>Real-time field failure monitoring IoT</t>
  </si>
  <si>
    <t>Consumer safety reporting digital portal</t>
  </si>
  <si>
    <t>Product liability blockchain for traceability</t>
  </si>
  <si>
    <t>Apply ML to warranty claims in real time to flag failure-mode patterns by plant, batch and climate region</t>
  </si>
  <si>
    <t>Encode plant ID, machine ID, shift and batch number into every tire; enable field-failure attribution to production source</t>
  </si>
  <si>
    <t>Require OEMs and suppliers to disclose overseas recalls to domestic regulators within 30 days</t>
  </si>
  <si>
    <t>Require that safety-critical components are tested in the actual vehicle operating context, not in isolation</t>
  </si>
  <si>
    <t>Partner with fleet operators to install IoT tyre pressure and temperature sensors; feed field data back to QC teams in real time</t>
  </si>
  <si>
    <t>Build a publicly accessible, verified safety-defect reporting portal that feeds directly to NHTSA — bypassing attorney suppression</t>
  </si>
  <si>
    <t>Record every component, assembly, and QC inspection on an immutable blockchain so that liability attribution is instant and undeniable</t>
  </si>
  <si>
    <t>As soon as warranty data volumes allow ML — a 1996 model trained on Firestone data would have flagged Decatur within months</t>
  </si>
  <si>
    <t>Immediately; the Decatur vs Wilson/Joliette failure rate difference was invisible without this</t>
  </si>
  <si>
    <t>Always; Ford replaced tires in Venezuela while US consumers drove on the same ones — this gap cost lives</t>
  </si>
  <si>
    <t>At product launch and when OEM specifies different operating parameters than supplier recommends</t>
  </si>
  <si>
    <t>When a product's failure mode is heat and speed-activated — field sensors detect patterns faster than warranty claims</t>
  </si>
  <si>
    <t>When the existing hotline is suppressed by legal incentives — direct reporting reduces the suppression gap</t>
  </si>
  <si>
    <t>For safety-critical components; makes suppression structurally impossible and recall scope instantly definable</t>
  </si>
  <si>
    <t>Lives at risk</t>
  </si>
  <si>
    <t>Quality signal</t>
  </si>
  <si>
    <t>Regulatory visibility</t>
  </si>
  <si>
    <t>Recall scope</t>
  </si>
  <si>
    <t>Supplier relationship</t>
  </si>
  <si>
    <t>Industry QC standard</t>
  </si>
  <si>
    <t>Consumer trust</t>
  </si>
  <si>
    <t>Regulatory Framework</t>
  </si>
  <si>
    <t>Unknown — risk unrecognised</t>
  </si>
  <si>
    <t>Warranty data accumulating (unreported)</t>
  </si>
  <si>
    <t>Blind (NHTSA)</t>
  </si>
  <si>
    <t>100-year partnership</t>
  </si>
  <si>
    <t>Minimal plant-level tracing</t>
  </si>
  <si>
    <t>Pre-TREAD Act (limited)</t>
  </si>
  <si>
    <t>Very High — 258 preventable deaths</t>
  </si>
  <si>
    <t>Suppressed (consumer blamed)</t>
  </si>
  <si>
    <t>Still blind</t>
  </si>
  <si>
    <t>Partnership intact but strained</t>
  </si>
  <si>
    <t>No change</t>
  </si>
  <si>
    <t>Declining (unaware)</t>
  </si>
  <si>
    <t>Still pre-TREAD</t>
  </si>
  <si>
    <t>High (6.5M tires on road)</t>
  </si>
  <si>
    <t>Exposed via media/NHTSA</t>
  </si>
  <si>
    <t>Partial (PE00-020)</t>
  </si>
  <si>
    <t>6.5M → 13M</t>
  </si>
  <si>
    <t>Collapsed permanently</t>
  </si>
  <si>
    <t>Scrutinised</t>
  </si>
  <si>
    <t>TREAD Act passed Nov 2000</t>
  </si>
  <si>
    <t>Lower (TPMS; early warning)</t>
  </si>
  <si>
    <t>Early warning mandatory</t>
  </si>
  <si>
    <t>High (TREAD Act)</t>
  </si>
  <si>
    <t>Systemic</t>
  </si>
  <si>
    <t>Rebuilt with new suppliers</t>
  </si>
  <si>
    <t>Plant-level QC standard</t>
  </si>
  <si>
    <t>Recovering (slowly)</t>
  </si>
  <si>
    <t>TREAD Act in force; TPMS mandate</t>
  </si>
  <si>
    <t>1997 Aisin Seiki Fire — Toyota network resilience and self-organised supplier recovery</t>
  </si>
  <si>
    <t>Automotive Manufacturing / Supplier Network Resilience</t>
  </si>
  <si>
    <t>Aisin Seiki Co. (Tier-1 supplier, Toyota Group) · Toyota Motor Corporation · ~200 Toyota-group suppliers</t>
  </si>
  <si>
    <t>Toyota estimated losses of ~$195M from the shutdown; approximately 70,000 vehicles affected</t>
  </si>
  <si>
    <t>N1 — Aisin Seiki Kariya Plant No.10</t>
  </si>
  <si>
    <t xml:space="preserve">Near-sole producer (~99%); remaining ~1% supplied by Nissin Kogyo Co. 32,500 units/day. Special-purpose machinery — destroyed in fire. 6,000+ molds destroyed. </t>
  </si>
  <si>
    <t>N2 — Raw material suppliers</t>
  </si>
  <si>
    <t>Steel, rubber, hydraulic components for P-valve production.</t>
  </si>
  <si>
    <t>N3 — 200+ Toyota-group suppliers (recovery)</t>
  </si>
  <si>
    <t>Toyota Tier-1/2 suppliers who volunteered or were asked to improvise P-valve production using adapted machinery.</t>
  </si>
  <si>
    <t>N4 — Toyota assembly plants (20 in Japan)</t>
  </si>
  <si>
    <t>All 20 Toyota assembly plants in Japan — dependent on daily JIT P-valve delivery with ~2–3 days of buffer.</t>
  </si>
  <si>
    <t>N5 — Downstream assembly (Hino, Daihatsu, Mitsubishi - Suzuki was not affected)</t>
  </si>
  <si>
    <t>Other Toyota-group manufacturers also using Aisin P-valves.</t>
  </si>
  <si>
    <t>N6 — Dealers / customers</t>
  </si>
  <si>
    <t>Global Toyota dealers and end customers awaiting vehicle delivery.</t>
  </si>
  <si>
    <t>N7 — Toyota Motor Corporation (coordinator)</t>
  </si>
  <si>
    <t>Toyota's crisis management team coordinated recovery — guaranteed to buy back surplus inventory; distributed 1% of Tier-1 sales as compensation.</t>
  </si>
  <si>
    <t>Steel/rubber inputs sourced for P-valve production</t>
  </si>
  <si>
    <t>Raw materials → N1 Aisin</t>
  </si>
  <si>
    <t>P-valves machined to precision tolerances at Aisin Kariya Plant No.10 (32,500/day)</t>
  </si>
  <si>
    <t>N1 Aisin manufacturing</t>
  </si>
  <si>
    <t>JIT delivery of P-valves to Toyota assembly plants (daily; ~2–3 days buffer only)</t>
  </si>
  <si>
    <t>N1 → N4 Toyota plants</t>
  </si>
  <si>
    <t>Vehicles assembled; P-valve installed in braking system</t>
  </si>
  <si>
    <t>N4 Toyota assembly</t>
  </si>
  <si>
    <t>Finished vehicles distributed to dealers and customers</t>
  </si>
  <si>
    <t>N4 → N6 Dealers/customers</t>
  </si>
  <si>
    <t>RECOVERY: blueprints shared by fax; 200+ suppliers adapt their machines to produce P-valves</t>
  </si>
  <si>
    <t>N3 Supplier network (recovery)</t>
  </si>
  <si>
    <t>Toyota guarantees purchase of surplus; distributes 1% Tier-1 sales as compensation</t>
  </si>
  <si>
    <t>N7 Toyota (financial backstop)</t>
  </si>
  <si>
    <t>Very High (short-term); offset by rapid recovery</t>
  </si>
  <si>
    <t>~2–3 days buffer → zero within hours of fire</t>
  </si>
  <si>
    <t>Lower (fewer vehicles produced during shutdown)</t>
  </si>
  <si>
    <t>High (idle assembly lines; scrapped in-process vehicles)</t>
  </si>
  <si>
    <t>Reduced (delivery delays); recovered quickly</t>
  </si>
  <si>
    <t>Very High (realised) — sole-source, JIT, no contingency</t>
  </si>
  <si>
    <t>P-valve quality maintained during recovery (100% inspection)</t>
  </si>
  <si>
    <t>Minimal dedicated molds destroyed; broader environmental neutral</t>
  </si>
  <si>
    <t>Low — not material to this case</t>
  </si>
  <si>
    <t>P-valve daily output (normal)</t>
  </si>
  <si>
    <t>32,500 units/day (Aisin sole source)</t>
  </si>
  <si>
    <t>Buffer stock (JIT)</t>
  </si>
  <si>
    <t>~2–3 days of P-valve supply</t>
  </si>
  <si>
    <t>Toyota assembly plants at risk</t>
  </si>
  <si>
    <t>All 20 plants in Japan</t>
  </si>
  <si>
    <t>Vehicles at risk</t>
  </si>
  <si>
    <t>~70,000</t>
  </si>
  <si>
    <t>Estimated Toyota financial loss</t>
  </si>
  <si>
    <t>~$195M from the shutdown</t>
  </si>
  <si>
    <t>Suppliers in recovery network</t>
  </si>
  <si>
    <t>200+ firms (Toyota group + others)</t>
  </si>
  <si>
    <t>Assembly plant downtime</t>
  </si>
  <si>
    <t>lines began reopening ~2 days after the fire; ~70% of Aisin capacity restored by ~day 6; full network-wide normalization by ~2 weeks</t>
  </si>
  <si>
    <t>P-valve production restored</t>
  </si>
  <si>
    <t>32,500/day restored within approximately 1–2 weeks (network-wide); partial output resumed within days</t>
  </si>
  <si>
    <t>1 February 1997 before dawn: fire breaks out at Aisin Seiki Factory No. 10, Kariya, Japan. Cause reportedly unknown. By 8:52 AM: P-valve production lines, clutch master cylinder lines, tandem master cylinder lines almost completely destroyed. 6,000+ molds lost. Special-purpose machinery destroyed (months to reorder). SOLE P-valve source = gone.</t>
  </si>
  <si>
    <t>Fire physically destroyed the only production facility making P-valves for Toyota. Aisin was the SOLE SOURCE of P-valves for ALL Toyota vehicles. JIT left only ~2–3 days of buffer. No contingency plan existed. Single-sourcing under JIT = catastrophic vulnerability.</t>
  </si>
  <si>
    <t>~2–3 days of P-valve stock — compressed to hours by in-transit demand. Assembly lines would stop within days without intervention. All 20 Toyota assembly plants in Japan; Hino, Daihatsu, Mitsubishi, Suzuki also affected. ~70,000 vehicles at risk. ~$160M–$245M net 'unavoidable' loss (post-recoupment), vs. ~$1.3B (¥160B) gross revenue at risk before recoupment through overtime/extra shifts.</t>
  </si>
  <si>
    <t>Near-total shutdown of the entire Toyota production network in Japan within days — averted only by unprecedented network self-organisation.</t>
  </si>
  <si>
    <t>Activate crisis management team immediately</t>
  </si>
  <si>
    <t>Share P-valve blueprints with 200+ suppliers (by fax)</t>
  </si>
  <si>
    <t>Guarantee buy-back of surplus inventory</t>
  </si>
  <si>
    <t>Distribute 1% Tier-1 sales as compensation</t>
  </si>
  <si>
    <t>Self-organised supplier improvisation (200+ firms)</t>
  </si>
  <si>
    <t>100% manual quality inspection of improvised parts</t>
  </si>
  <si>
    <t>Multi-source P-valve supply (post-crisis, long-term)</t>
  </si>
  <si>
    <t>Invest in supplier relationship depth (structural)</t>
  </si>
  <si>
    <t>Mobilise response; share P-valve specs with all potential recovery suppliers</t>
  </si>
  <si>
    <t>Fax technical drawings to every supplier capable of potential P-valve production</t>
  </si>
  <si>
    <t>Remove financial risk from suppliers improvising P-valve production</t>
  </si>
  <si>
    <t>Compensate suppliers for losses incurred during disruption</t>
  </si>
  <si>
    <t>Adapt existing machines; improvise P-valve production without central direction</t>
  </si>
  <si>
    <t>Inspect every P-valve before dispatch — no batch sampling</t>
  </si>
  <si>
    <t>Qualify additional P-valve suppliers to end sole-source dependency</t>
  </si>
  <si>
    <t>Deepen trust, shared standards and engineering knowledge across supplier network</t>
  </si>
  <si>
    <t>Low (org)</t>
  </si>
  <si>
    <t>Low-Med (liability)</t>
  </si>
  <si>
    <t>Medium (engineering effort)</t>
  </si>
  <si>
    <t>Medium (labour)</t>
  </si>
  <si>
    <t>Immediate</t>
  </si>
  <si>
    <t>Post-crisis</t>
  </si>
  <si>
    <t>Days</t>
  </si>
  <si>
    <t>Continuous</t>
  </si>
  <si>
    <t>Reduced (long-term)</t>
  </si>
  <si>
    <t>Reduced (quality risk)</t>
  </si>
  <si>
    <t>Enabled</t>
  </si>
  <si>
    <t>Partial (immediate)</t>
  </si>
  <si>
    <t>Partial→High</t>
  </si>
  <si>
    <t>First response — always; speed of activation determines downstream options</t>
  </si>
  <si>
    <t>Critical path: without specs, no supplier can begin improvisation</t>
  </si>
  <si>
    <t>Suppliers won't risk capital on improvised production without this guarantee</t>
  </si>
  <si>
    <t>Reinforces network trust for future crises; makes the relationship investment tangible</t>
  </si>
  <si>
    <t>Network trust + shared engineering knowledge makes this possible; impossible without them</t>
  </si>
  <si>
    <t>Safety-critical brake component — 100% inspection is non-negotiable</t>
  </si>
  <si>
    <t>After sole-source vulnerability realised — structural fix to prevent recurrence</t>
  </si>
  <si>
    <t>The capability that enabled recovery must be cultivated continuously</t>
  </si>
  <si>
    <t>Reduced LT</t>
  </si>
  <si>
    <t>Reduced quality</t>
  </si>
  <si>
    <t xml:space="preserve">17
</t>
  </si>
  <si>
    <t>Digital supplier network twin (instant alternate production finder)</t>
  </si>
  <si>
    <t>Shared CAD/blueprint cloud platform for crisis production</t>
  </si>
  <si>
    <t>Pre-signed mutual-aid agreements with top 50 suppliers</t>
  </si>
  <si>
    <t>3D printing as emergency bridge production</t>
  </si>
  <si>
    <t>Distributed buffer stock programme for sole-sourced parts</t>
  </si>
  <si>
    <t>Supplier financial resilience scoring</t>
  </si>
  <si>
    <t>IoT machine-capacity monitoring across the supplier network</t>
  </si>
  <si>
    <t>Build a platform that maps every supplier's machine types and available capacity; shows alternate P-valve producers in hours not days</t>
  </si>
  <si>
    <t>Store critical part blueprints on a secure cloud accessible to all qualified suppliers; eliminate fax-delay in crisis</t>
  </si>
  <si>
    <t>Formalise the 1997 self-organisation in advance: suppliers pre-agree to share capacity, machines and workers in a declared emergency</t>
  </si>
  <si>
    <t>Qualify 3D-printed P-valves as a bridge supply (for lower-stress applications) while main production recovers</t>
  </si>
  <si>
    <t>Hold a rolling 2-week buffer of every part with only one qualified supplier, distributed across multiple warehouses</t>
  </si>
  <si>
    <t>Monitor supplier financial health quarterly; flag at-risk suppliers before financial stress causes supply disruption</t>
  </si>
  <si>
    <t>Deploy IoT sensors on critical machines at top 20 suppliers to monitor real-time capacity, downtime and throughput</t>
  </si>
  <si>
    <t>Immediately after the 1997 recovery; fax coordination took days — a digital twin compresses this to hours</t>
  </si>
  <si>
    <t>After proving that blueprint sharing is the rate-limiting step in crisis recovery; cloud beats fax by days</t>
  </si>
  <si>
    <t>After proving that trust enables recovery; pre-signed agreements reduce the initiation delay from hours to minutes</t>
  </si>
  <si>
    <t>When conventional tooling destruction is total and 3D printing can cover partial output while tooling is rebuilt</t>
  </si>
  <si>
    <t>For all sole-sourced safety-critical components; the 2–3 day JIT buffer was the core structural vulnerability</t>
  </si>
  <si>
    <t>After sole-source fire risk is addressed; financial failure is the second most likely single-source disruption</t>
  </si>
  <si>
    <t>When manual capacity discovery (phone calls) is the slowest part of crisis response — real-time visibility eliminates it</t>
  </si>
  <si>
    <t>P-valve output</t>
  </si>
  <si>
    <t>Plants running</t>
  </si>
  <si>
    <t>Vehicles/day</t>
  </si>
  <si>
    <t>Network activation</t>
  </si>
  <si>
    <t>Trust capital</t>
  </si>
  <si>
    <t>32,500/day (sole source)</t>
  </si>
  <si>
    <t>~2–3 days</t>
  </si>
  <si>
    <t>All 20 running</t>
  </si>
  <si>
    <t>Normal rate</t>
  </si>
  <si>
    <t>Not needed</t>
  </si>
  <si>
    <t>High (built over years)</t>
  </si>
  <si>
    <t>~2–3 days (countdown)</t>
  </si>
  <si>
    <t>All 20 halting</t>
  </si>
  <si>
    <t>Activated</t>
  </si>
  <si>
    <t>Days (unknown)</t>
  </si>
  <si>
    <t>High (now deployed)</t>
  </si>
  <si>
    <t>0 → 32,500/day (improvised)</t>
  </si>
  <si>
    <t>Depleting → restoring</t>
  </si>
  <si>
    <t>Partial → Full</t>
  </si>
  <si>
    <t>200+ firms active</t>
  </si>
  <si>
    <t>~5 days total</t>
  </si>
  <si>
    <t>Managed</t>
  </si>
  <si>
    <t>High (demonstrated)</t>
  </si>
  <si>
    <t>32,500/day (multi-sourced)</t>
  </si>
  <si>
    <t>Higher buffers</t>
  </si>
  <si>
    <t>Full</t>
  </si>
  <si>
    <t>Ready</t>
  </si>
  <si>
    <t>&lt;2 days (target)</t>
  </si>
  <si>
    <t>Lower (structural)</t>
  </si>
  <si>
    <t>High + deepened</t>
  </si>
  <si>
    <t>Cisco Systems — $2.25B inventory write-down (2001): demand-signal distortion and the bullwhip effect</t>
  </si>
  <si>
    <t>Electronics / Networking Equipment / Technology</t>
  </si>
  <si>
    <t>Cisco Systems manufactures networking infrastructure (routers, switches, optical equipment). In the late 1990s it was the fastest-growing company in American corporate history. At its March 2000 peak, Cisco briefly became the most valuable company in the world (~$550B market cap).</t>
  </si>
  <si>
    <t>$2.25B inventory write-down; $2.69B quarterly loss (first loss in 11+ years); 8,000+ jobs cut; stock fell from $82 to $13. CEO John Chambers called it a '100-year flood.'</t>
  </si>
  <si>
    <t>N1 — End customers (telecoms/dot-coms)</t>
  </si>
  <si>
    <t>Telecom companies and dot-com startups. Placed inflated, double, and speculative orders due to shortage gaming and unlimited VC cash.</t>
  </si>
  <si>
    <t>N2 — Cisco Systems (OEM)</t>
  </si>
  <si>
    <t xml:space="preserve">Receives customer orders; aggregates and plans production; places orders to contract manufacturers. </t>
  </si>
  <si>
    <t>N3 — Contract manufacturers (global)</t>
  </si>
  <si>
    <t>Outsourced manufacturers building Cisco networking equipment globally. Each operated independently on their own local forecast.</t>
  </si>
  <si>
    <t>N4 — Component suppliers (chips, boards, optical)</t>
  </si>
  <si>
    <t>Tier-2/3 suppliers producing custom chips, circuit boards, optical components — many custom-built for Cisco-specific products.</t>
  </si>
  <si>
    <t>N5 — Raw material suppliers</t>
  </si>
  <si>
    <t>Upstream materials (metals, silicon, fibre-optic glass).</t>
  </si>
  <si>
    <t>N6 — Cisco warehouses / inventory</t>
  </si>
  <si>
    <t>$2.25B of custom inventory accumulated — much of it scrapped and destroyed because it had no resale value.</t>
  </si>
  <si>
    <t>Dot-com / telecom customers place inflated/double/speculative orders (shortage gaming)</t>
  </si>
  <si>
    <t>N1 Customers → N2 Cisco</t>
  </si>
  <si>
    <t>Cisco aggregates orders; treats all as real demand; places amplified orders to contract manufacturers</t>
  </si>
  <si>
    <t>N2 Cisco → N3 Contract mfrs</t>
  </si>
  <si>
    <t>Contract manufacturers order components independently, each adding their own buffer</t>
  </si>
  <si>
    <t>N3 → N4 Component suppliers</t>
  </si>
  <si>
    <t>Custom chips, boards, optical components produced to Cisco specs — not resaleable</t>
  </si>
  <si>
    <t>N4 Component suppliers → N3/N2</t>
  </si>
  <si>
    <t>Dot-com bubble bursts (2000–2001); customer orders evaporate overnight</t>
  </si>
  <si>
    <t>N1 Customers → Zero</t>
  </si>
  <si>
    <t>Cisco discovers $2.25B of custom inventory with no customer; write-down; destroy most of it</t>
  </si>
  <si>
    <t>N2/N6 Cisco — catastrophe</t>
  </si>
  <si>
    <t>POST-CRISIS: e-hub built; all tiers see real demand simultaneously; bullwhip eliminated</t>
  </si>
  <si>
    <t>All nodes — shared visibility</t>
  </si>
  <si>
    <t>Very High ($2.25B write-down + $2.69B quarterly loss)</t>
  </si>
  <si>
    <t>Long (months advance orders due to component lead times) — amplified bullwhip</t>
  </si>
  <si>
    <t>High (massive manufacturing + scrapping/destruction of inventory)</t>
  </si>
  <si>
    <t>Catastrophic — $2.25B of custom inventory scrapped and destroyed</t>
  </si>
  <si>
    <t>Low during shortage; collapsed with customer companies</t>
  </si>
  <si>
    <t>Very High (realised) — demand-signal blindness + outsourced mfg + custom parts = maximum bullwhip exposure</t>
  </si>
  <si>
    <t>Not impacted — the product was fine; the demand disappeared</t>
  </si>
  <si>
    <t>Very High negative — mass destruction of manufactured goods</t>
  </si>
  <si>
    <t>Low — most inventory was scrapped/destroyed, though some non-custom/raw materials were reportedly sold to recyclers/salvage brokers</t>
  </si>
  <si>
    <t>Peak market cap</t>
  </si>
  <si>
    <t>~$500–580B (March 2000); exact figure varies by source and date</t>
  </si>
  <si>
    <t>Inventory write-down</t>
  </si>
  <si>
    <t>$2.25B (May 2001)</t>
  </si>
  <si>
    <t>Quarterly loss (Q3 FY2001)</t>
  </si>
  <si>
    <t>$2.69B — first loss in 11+ years</t>
  </si>
  <si>
    <t>Jobs cut</t>
  </si>
  <si>
    <t>8,000+</t>
  </si>
  <si>
    <t>Stock price fall</t>
  </si>
  <si>
    <t>$82 → $13</t>
  </si>
  <si>
    <t>Excess inventory nature</t>
  </si>
  <si>
    <t>Custom-built; no resale value; most scrapped and destroyed</t>
  </si>
  <si>
    <t>Bullwhip amplification</t>
  </si>
  <si>
    <t>Each tier of the supply chain added its own buffer on inflated signals</t>
  </si>
  <si>
    <t>Demand visibility (pre-crisis)</t>
  </si>
  <si>
    <t>Near-zero — each tier operated on its own local forecast</t>
  </si>
  <si>
    <t>Dot-com bubble collapse, 2000–2001: telecom and dot-com customers — Cisco's entire customer base — simultaneously stopped spending. Orders placed under speculative/double-ordering conditions were cancelled en masse.</t>
  </si>
  <si>
    <t>Bullwhip-effect theory (Lee et al. 1997) identifies these three mechanisms generally; their specific occurrence in Cisco's 2000–2001 order book is inferred from the outcome, not independently documented in available sources - Demand evaporated almost overnight as the dot-com bubble burst. Cisco was holding $2.25B of custom inventory it had built against inflated demand signals. Three mechanisms simultaneously inflated demand signals: (1) Shortage gaming — customers over-ordered to receive less than they requested; (2) Double-ordering — customers ordered from multiple vendors for the same equipment; (3) Speculative ordering — VC-funded companies ordered far ahead of actual need. Cisco had no system to detect or correct for any of these. Each supply chain tier amplified the inflated signal further. The components Cisco ordered were custom-built to Cisco-specific designs. When demand disappeared, the inventory could not be redirected or sold to other customers. Most was literally scrapped and destroyed.</t>
  </si>
  <si>
    <t>Cisco's own ERP was blind to upstream production. It saw orders coming in (inflated) and warehouse stock (finite). It did not see the $2.25B being built in contract manufacturer pipelines against those inflated orders.</t>
  </si>
  <si>
    <t>$2.2B per Cisco's SEC filing (commonly rounded to $2.25B in secondary sources); $2.69B quarterly loss; 8,000 jobs; stock $82→$13; reputational damage; foundational industry lesson in demand-visibility failure.</t>
  </si>
  <si>
    <t>Accept 'uncontrollable forces' narrative</t>
  </si>
  <si>
    <t>Halt production when demand signals weakened</t>
  </si>
  <si>
    <t>Emergency inventory write-down</t>
  </si>
  <si>
    <t>Cut 8,000+ jobs</t>
  </si>
  <si>
    <t>Demand signal verification / anti-gaming protocols</t>
  </si>
  <si>
    <t>Build the e-hub (shared demand platform)</t>
  </si>
  <si>
    <t>Adopt CPFR with contract manufacturers</t>
  </si>
  <si>
    <t>Require demand signals from further up the VALUE CHAIN</t>
  </si>
  <si>
    <t>Attribute the disaster to the dot-com crash as unforeseeable — 'a 100-year flood'</t>
  </si>
  <si>
    <t>Stop contract manufacturers the moment demand anomalies appeared</t>
  </si>
  <si>
    <t>Acknowledge and write off $2.25B of stranded inventory</t>
  </si>
  <si>
    <t>Reduce workforce to match dramatically lower demand</t>
  </si>
  <si>
    <t>Identify double-ordering and shortage gaming; require firmer demand commitments</t>
  </si>
  <si>
    <t>Give all supply-chain tiers a common, real-time demand/inventory view simultaneously</t>
  </si>
  <si>
    <t>Collaborative Planning, Forecasting and Replenishment — share real demand data, not forecasts</t>
  </si>
  <si>
    <t>Monitor end-customer consumption (not just orders) as the true demand signal</t>
  </si>
  <si>
    <t>High (financial)</t>
  </si>
  <si>
    <t>High (human)</t>
  </si>
  <si>
    <t>Medium (platform)</t>
  </si>
  <si>
    <t>Fast (if acted)</t>
  </si>
  <si>
    <t>Long (build)</t>
  </si>
  <si>
    <t>Reduced cost</t>
  </si>
  <si>
    <t>Partially</t>
  </si>
  <si>
    <t>Never — a '100-year flood' framing closes off the structural lessons. The bullwhip conditions were visible and preventable.</t>
  </si>
  <si>
    <t>Requires real-time demand visibility — impossible without the e-hub. Highlights why D6 is the true structural fix.</t>
  </si>
  <si>
    <t>When inventory is worthless and delay only defers the inevitable — fast acknowledgement limits reputational damage.</t>
  </si>
  <si>
    <t>Unavoidable once demand collapsed — but the structural prevention (D6) would have made the scale of cuts smaller.</t>
  </si>
  <si>
    <t>After bullwhip dynamics identified — addresses the customer-side cause of signal inflation.</t>
  </si>
  <si>
    <t>After multi-tier signal distortion proven — the structural cure to the bullwhip, not a symptom treatment.</t>
  </si>
  <si>
    <t>After bullwhip shown to result from independent, non-shared forecasting at each tier.</t>
  </si>
  <si>
    <t>The real demand signal is what end customers consume, not what intermediate customers order.</t>
  </si>
  <si>
    <t xml:space="preserve">9
</t>
  </si>
  <si>
    <t>AI demand-signal deduplication (detect double-ordering in real time)</t>
  </si>
  <si>
    <t>Customer financial health monitoring (flag order risk early)</t>
  </si>
  <si>
    <t>Modular product design to reduce custom-only inventory</t>
  </si>
  <si>
    <t>Dynamic contract flexibility clauses</t>
  </si>
  <si>
    <t>Real-time end-consumption visibility (not just orders)</t>
  </si>
  <si>
    <t>Tiered inventory commitment system</t>
  </si>
  <si>
    <t>Supply chain digital twin stress-testing</t>
  </si>
  <si>
    <t>Build an ML system that cross-references orders across all channels to flag when the same end-customer is double-ordering</t>
  </si>
  <si>
    <t>Monitor credit ratings, VC funding rounds and revenue signals of Cisco's top 100 customers to flag demand risk 60–90 days early</t>
  </si>
  <si>
    <t>Design products with standardised subassemblies that can be configured at final assembly, reducing the custom-inventory write-down risk</t>
  </si>
  <si>
    <t>Include demand-collapse exit clauses in all manufacturing contracts allowing production halt within 2 weeks on verified demand signal collapse</t>
  </si>
  <si>
    <t>Connect directly to telco and ISP network utilisation data — actual traffic growth — as the true demand signal, not customer order books</t>
  </si>
  <si>
    <t>Implement a staged commitment model: 30% firm, 30% soft, 40% option-only — reducing hard inventory commitment to verified demand</t>
  </si>
  <si>
    <t>Run monthly demand-collapse scenarios on a supply-chain digital twin to identify inventory accumulation risk before it materialises</t>
  </si>
  <si>
    <t>As soon as order volumes enable pattern detection; the double-ordering mechanism was visible in the data</t>
  </si>
  <si>
    <t>When customer base consists of VC-funded startups and telecom companies with highly volatile spending</t>
  </si>
  <si>
    <t>At product design stage; the $2.25B write-down was catastrophic because custom parts had zero resale value</t>
  </si>
  <si>
    <t>Before the next major technology boom-bust cycle; fast production halt capability is the operational cure</t>
  </si>
  <si>
    <t>When customer orders are a lagging and distorted proxy for real end-market demand</t>
  </si>
  <si>
    <t>When demand uncertainty is high; options cost less than write-downs and preserve supplier relationships</t>
  </si>
  <si>
    <t>Before a demand peak; monthly stress-testing would have flagged $2.25B of accumulation risk in Q3 2000</t>
  </si>
  <si>
    <t>Demand signal accuracy</t>
  </si>
  <si>
    <t>Inventory visibility</t>
  </si>
  <si>
    <t>Inventory level</t>
  </si>
  <si>
    <t>Quarterly profit</t>
  </si>
  <si>
    <t>Stock price</t>
  </si>
  <si>
    <t>Jobs</t>
  </si>
  <si>
    <t>Bullwhip risk</t>
  </si>
  <si>
    <t xml:space="preserve">Supply-Chain </t>
  </si>
  <si>
    <t>Severely distorted (inflated 2–3×)</t>
  </si>
  <si>
    <t>Internal only</t>
  </si>
  <si>
    <t>Rapidly accumulating</t>
  </si>
  <si>
    <t>Record profits</t>
  </si>
  <si>
    <t>$82 peak</t>
  </si>
  <si>
    <t>Growing</t>
  </si>
  <si>
    <t>Very High (unrecog.)</t>
  </si>
  <si>
    <t>Zero (orders evaporated)</t>
  </si>
  <si>
    <t>$2.25B stranded</t>
  </si>
  <si>
    <t>−$2.69B loss</t>
  </si>
  <si>
    <t>$13</t>
  </si>
  <si>
    <t>−8,000</t>
  </si>
  <si>
    <t>Realised catastrophically</t>
  </si>
  <si>
    <t>Real-time (shared across all tiers)</t>
  </si>
  <si>
    <t>Full (all tiers)</t>
  </si>
  <si>
    <t>Stabilised</t>
  </si>
  <si>
    <t>Structurally eliminated</t>
  </si>
  <si>
    <t>Avian Influenza / US Egg Crisis (2015 &amp; 2022–2025) — HPAI biological shock to US egg supply chain</t>
  </si>
  <si>
    <t>Industry-wide. Key actors: USDA-APHIS (regulator), Cal-Maine Foods (largest US egg producer), Iowa Select Farms. Downstream: McDonald's, Waffle House, major bakers. Emergency partners: Türkiye (~15,000 tonnes agreed 2025), EU importers.</t>
  </si>
  <si>
    <t>Wave 1 (2015): 50.5M birds culled; egg prices +250%. Wave 2 (2022–2025): 173M birds affected in all 50 states; 1,704 confirmed HPAI-positive flocks (May 2025); egg price all-time high $6.23/dozen (March 2025); 230% 5-year price increase; USDA paid &gt;$500M producer compensation (2023); H5N1 detected in dairy cattle (March 2024).</t>
  </si>
  <si>
    <t>N1 — Commercial laying hen flocks (Iowa/Midwest)</t>
  </si>
  <si>
    <t>Iowa, Minnesota and surrounding states house the majority of US commercial egg-laying operations. ~300–500M hens in high-density CAFO facilities. Iowa is the single largest US egg-producing state. Geographic concentration means HPAI entering the Midwest flyway devastates the majority of US egg supply simultaneously.</t>
  </si>
  <si>
    <t>N2 — USDA-APHIS (regulator/responder)</t>
  </si>
  <si>
    <t>Animal and Plant Health Inspection Service manages HPAI outbreaks. Standard protocol: mandatory immediate culling of entire infected flock (100% kill rate in chickens). No approved commercial HPAI vaccine for US market — blocked by trade policy: EU, Japan and South Korea prohibit imports of poultry from vaccinated flocks.</t>
  </si>
  <si>
    <t>N3 — Egg processing and distribution</t>
  </si>
  <si>
    <t>Shell eggs enter processing for grading/washing before retail and foodservice distribution. Shelf life: 1–2 weeks. Processing plants near outbreak zones pause operations due to biosecurity restrictions, compounding supply loss.</t>
  </si>
  <si>
    <t>N4 — Retail / foodservice (downstream)</t>
  </si>
  <si>
    <t>Supermarkets, fast food, bakeries, restaurants. Eggs used as ingredient across hundreds of product categories. Any upstream supply disruption creates simultaneous shelf gaps and cost spikes across the entire food manufacturing supply chain.</t>
  </si>
  <si>
    <t>N5 — International import market (emergency)</t>
  </si>
  <si>
    <t>US imports surged 38% (December 2024). Emergency imports from Türkiye (~15,000 tonnes by June 2025) and EU countries. Normal import barriers (tariffs, phytosanitary requirements) slowed emergency response from days to months.</t>
  </si>
  <si>
    <t>1</t>
  </si>
  <si>
    <t>Chicks hatched and raised to laying age (~4–6 months) at commercial poultry farms</t>
  </si>
  <si>
    <t>N1 Poultry farms</t>
  </si>
  <si>
    <t>2</t>
  </si>
  <si>
    <t>Eggs collected daily; strict biosecurity at farm gate; quality checked</t>
  </si>
  <si>
    <t>N1 → N3 Processing</t>
  </si>
  <si>
    <t>3</t>
  </si>
  <si>
    <t>Eggs graded, washed, packed at regional processing facilities</t>
  </si>
  <si>
    <t>N3 Processing</t>
  </si>
  <si>
    <t>4</t>
  </si>
  <si>
    <t>Packaged eggs distributed to retail chains, foodservice distributors, food manufacturers</t>
  </si>
  <si>
    <t>N3 → N4 Downstream</t>
  </si>
  <si>
    <t>5</t>
  </si>
  <si>
    <t>HPAI detected → APHIS notified → mandatory culling of entire flock → supply node eliminated</t>
  </si>
  <si>
    <t>N1 Disruption trigger</t>
  </si>
  <si>
    <t>6</t>
  </si>
  <si>
    <t>Emergency imports activated when domestic shortfall becomes critical</t>
  </si>
  <si>
    <t>N5 → N4 Emergency supply</t>
  </si>
  <si>
    <t>Pre-outbreak: ~$1.97/dozen avg US retail (2021). Wave 2 peak: $6.23/dozen (March 2025 — all-time record). 230% increase over 5 years. USDA compensation: &gt;$500M paid to producers in 2023 alone.</t>
  </si>
  <si>
    <t>Recovery lag: 4–6 months minimum to raise a new laying flock to production age. No short-term substitute for lost flock numbers. Wave 2: 3+ years and no full recovery yet.</t>
  </si>
  <si>
    <t>Mass culling of 173M birds: significant methane and GHG from disposal. Reduced production offset by reduced feed/energy consumption. Net CO2 impact complex.</t>
  </si>
  <si>
    <t>173M birds culled — composted or buried. Partial product spoilage at processing facilities near outbreak zones. Enormous biological resource waste from a policy-preventable outcome.</t>
  </si>
  <si>
    <t>Severely impacted: $7+/dozen eggs (3× normal); shelf gaps; restaurant menu changes; ingredient cost spikes across baked goods, mayonnaise, breakfast menus, protein bars.</t>
  </si>
  <si>
    <t>EXTREME and recurring: HPAI is endemic in wild bird populations and cannot be eradicated. Without vaccination (blocked by trade policy), every migratory season brings re-introduction risk. The structural risk driver is policy, not biology.</t>
  </si>
  <si>
    <t>Eggs reaching market are safe and normal quality — HPAI does not affect egg safety for human consumption. Quality maintained; quantity dramatically reduced.</t>
  </si>
  <si>
    <t>Mass culling of 173M birds: enormous animal welfare and biological resource loss. No effective prevention mechanism due to vaccine trade policy creates a structurally unsustainable response model.</t>
  </si>
  <si>
    <t>Culled bird biomass composted for agricultural use — partial circularity. Very limited recovery of productive assets.</t>
  </si>
  <si>
    <t>Wave 1 trigger (2015)</t>
  </si>
  <si>
    <t>H5N2 HPAI detected in Iowa and Minnesota commercial poultry flocks spring 2015. 50.5 million birds culled in under 7 months — the largest animal disease outbreak in US history at that time. Egg prices +250%; turkey prices surged at Thanksgiving.</t>
  </si>
  <si>
    <t>Wave 2 trigger (February 2022)</t>
  </si>
  <si>
    <t>H5N1 HPAI detected in US commercial poultry February 2022. Spread across all 50 states and Puerto Rico. By May 2025: 1,704 positive flocks, 173 million birds affected. USDA declared the "largest and longest outbreak in the history of the United States." Novel: H5N1 also detected in dairy cattle (March 2024) and 200+ mammal species.</t>
  </si>
  <si>
    <t>Root cause — structural</t>
  </si>
  <si>
    <t>No approved commercial HPAI vaccine for US poultry. Vaccine prohibition driven by export market trade restrictions: EU, Japan, South Korea ban imports from vaccinated flocks. US poultry industry resists vaccination to protect ~$5B/year in exports. Culling is therefore the ONLY containment measure. 300–500M hens concentrated in Midwest HPAI flyway corridor.</t>
  </si>
  <si>
    <t>Egg prices: +250% Wave 1; all-time high $6.23/dozen March 2025; 230% 5-year increase. USDA compensation: &gt;$500M paid to poultry producers in 2023. Downstream food manufacturers: significant margin compression across hundreds of product categories. 44 trading partners implemented regional US poultry trade restrictions.</t>
  </si>
  <si>
    <t>Shell egg retail shortages and foodservice disruptions. Ingredient cost shocks across baked goods, mayonnaise, protein bars, breakfast menus. Emergency imports from EU and Türkiye. Food manufacturers reformulated products or absorbed margin impact. Restaurant chains modified menus and absorbed cost increases.</t>
  </si>
  <si>
    <t>7</t>
  </si>
  <si>
    <t>8</t>
  </si>
  <si>
    <t>Mandatory culling of infected flocks</t>
  </si>
  <si>
    <t>USDA producer compensation programme</t>
  </si>
  <si>
    <t>Emergency import facilitation</t>
  </si>
  <si>
    <t>Enhanced on-farm biosecurity programme</t>
  </si>
  <si>
    <t>Geographic dispersal of egg production</t>
  </si>
  <si>
    <t>Stockpile long-shelf-life egg protein products</t>
  </si>
  <si>
    <t>Engage export market partners on vaccine acceptance</t>
  </si>
  <si>
    <t>Real-time HPAI surveillance and AI early-warning</t>
  </si>
  <si>
    <t>USDA-APHIS mandates immediate culling of all birds in any HPAI-positive flock to halt disease spread</t>
  </si>
  <si>
    <t>Pay fair market value for culled flocks to maintain producer participation in reporting, compliance and biosecurity</t>
  </si>
  <si>
    <t>Expedite phytosanitary approvals for egg imports from Türkiye and EU countries to partially offset domestic shortfall</t>
  </si>
  <si>
    <t>USDA funds enhanced biosecurity: wild bird exclusion netting, double fencing, worker PPE, visitor restrictions, air filtration — to reduce HPAI introduction risk</t>
  </si>
  <si>
    <t>Incentivise egg production facilities outside the HPAI-endemic Midwest flyway corridor (Southeast, Southwest states)</t>
  </si>
  <si>
    <t>Build buffer reserves of dried/pasteurised egg products (shelf life 12–24 months) equivalent to 30 days of national food-manufacturer demand</t>
  </si>
  <si>
    <t>USDA and USTR negotiate with EU, Japan, South Korea to accept vaccinated-bird US poultry exports — enabling commercial HPAI vaccination in the US</t>
  </si>
  <si>
    <t>Deploy ML analysis of USDA daily surveillance data to detect early-stage HPAI spread patterns before confirmed lab cases — enabling earlier biosecurity at neighbouring farms</t>
  </si>
  <si>
    <t>Very High (culling + disposal)</t>
  </si>
  <si>
    <t>Very High (federal budget)</t>
  </si>
  <si>
    <t>Medium (import premium)</t>
  </si>
  <si>
    <t>Medium (farm investment)</t>
  </si>
  <si>
    <t>High (capex + incentives)</t>
  </si>
  <si>
    <t>Low-Med (diplomatic/regulatory)</t>
  </si>
  <si>
    <t>Weeks-months</t>
  </si>
  <si>
    <t>Long (years)</t>
  </si>
  <si>
    <t>High (waste)</t>
  </si>
  <si>
    <t>Medium (shipping)</t>
  </si>
  <si>
    <t>Partially Reduced</t>
  </si>
  <si>
    <t>Reduced (compliance ↑)</t>
  </si>
  <si>
    <t>Structurally Eliminated (if done)</t>
  </si>
  <si>
    <t>n/a (product removed)</t>
  </si>
  <si>
    <t>Very Low (supply gone)</t>
  </si>
  <si>
    <t>Protected (financial)</t>
  </si>
  <si>
    <t>Partially Improved</t>
  </si>
  <si>
    <t>Very Negative</t>
  </si>
  <si>
    <t>Very Positive</t>
  </si>
  <si>
    <t>When HPAI confirmed — the only approved containment protocol without an available vaccine</t>
  </si>
  <si>
    <t>Always — without compensation, under-reporting would make containment impossible and re-infection would be faster</t>
  </si>
  <si>
    <t>When domestic shortfall exceeds 15%+ of normal supply and certified import partners are available</t>
  </si>
  <si>
    <t>Continuously — the primary prevention tool in absence of an approved vaccine; reduces but does not eliminate introduction risk</t>
  </si>
  <si>
    <t>Long-term structural response — reduces the geographic concentration risk; individual flocks still vulnerable but national supply impact smaller</t>
  </si>
  <si>
    <t>Bridges the 4–6 month flock recovery lag; gives food manufacturers time to adapt ingredient sourcing when acute shortage hits</t>
  </si>
  <si>
    <t>The only structural solution — removes the trade policy constraint that forces culling as the sole response; multi-year diplomatic effort required</t>
  </si>
  <si>
    <t>As USDA surveillance data volume grows — AI pattern detection compresses detection-to-response time from days to hours</t>
  </si>
  <si>
    <t>Struct. Eliminated</t>
  </si>
  <si>
    <t>9</t>
  </si>
  <si>
    <t>10</t>
  </si>
  <si>
    <t>11</t>
  </si>
  <si>
    <t>12</t>
  </si>
  <si>
    <t>13</t>
  </si>
  <si>
    <t>14</t>
  </si>
  <si>
    <t>Accelerate HPAI commercial poultry vaccine approval</t>
  </si>
  <si>
    <t>Import pathway pre-certification (5+ countries)</t>
  </si>
  <si>
    <t>AI-driven flock mortality anomaly detection</t>
  </si>
  <si>
    <t>Mandatory geographic dispersal of egg production</t>
  </si>
  <si>
    <t>Real-time HPAI supply dashboard for food manufacturers</t>
  </si>
  <si>
    <t>Strategic egg protein government reserve</t>
  </si>
  <si>
    <t>USDA and USTR negotiate with EU, Japan, South Korea to accept vaccinated-bird poultry with tiered trade protocols; fast-track APHIS vaccine licensing process</t>
  </si>
  <si>
    <t>USDA pre-certifies egg import pathways from Türkiye, Brazil, Chile, EU, Mexico in advance so emergency imports can begin within days of a domestic crisis rather than months</t>
  </si>
  <si>
    <t>Deploy ML on USDA daily surveillance data to detect early HPAI spread patterns before confirmed cases — enabling faster biosecurity activation at neighbouring farms</t>
  </si>
  <si>
    <t>Require any egg company with &gt;5% national market share to distribute production across at least 3 geographic regions in separate HPAI flyway zones</t>
  </si>
  <si>
    <t>Build a shared USDA + industry platform showing flock infection rates by county in real time, enabling food manufacturers to advance-purchase egg ingredients 2–4 weeks before retail shelf gaps appear</t>
  </si>
  <si>
    <t>USDA establishes a government-funded reserve of long-shelf-life egg protein products equivalent to 30-day national food-manufacturer buffer; held in distributed regional facilities independent of commercial supply chain</t>
  </si>
  <si>
    <t>High (government capex)</t>
  </si>
  <si>
    <t>Fast (if pre-certified)</t>
  </si>
  <si>
    <t>High (warehousing energy)</t>
  </si>
  <si>
    <t>Structurally Eliminated</t>
  </si>
  <si>
    <t>The definitive structural fix — removes the trade policy constraint that makes culling the only response option; requires sustained diplomatic effort</t>
  </si>
  <si>
    <t>The 2025 Türkiye import took months to arrange; pre-certification compresses emergency response from months to days</t>
  </si>
  <si>
    <t>When surveillance data volume supports pattern detection; AI can compress detection-to-response time from days to hours at adjacent farms</t>
  </si>
  <si>
    <t>Prevents single-region HPAI outbreak from eliminating &gt;30% of national supply — same logic as dual-DC for logistics networks</t>
  </si>
  <si>
    <t>Downstream food manufacturers currently discover egg shortages at the same time as consumers — advance warning enables procurement adjustment before crisis hits</t>
  </si>
  <si>
    <t>The 2019 UK medicine stockpiling model applied to egg protein — a government-funded strategic reserve separate from commercial stock is a true last-resort buffer</t>
  </si>
  <si>
    <t>~$1.97/doz</t>
  </si>
  <si>
    <t>Days (supply normal)</t>
  </si>
  <si>
    <t>Moderate</t>
  </si>
  <si>
    <t>Negative (culling model)</t>
  </si>
  <si>
    <t>~$5+/doz (+250%)</t>
  </si>
  <si>
    <t>4–6 month recovery</t>
  </si>
  <si>
    <t>$6.23/doz (all-time high)</t>
  </si>
  <si>
    <t>3+ yr recovery lag</t>
  </si>
  <si>
    <t>High (173M birds)</t>
  </si>
  <si>
    <t>Realised/Max</t>
  </si>
  <si>
    <t>~$2–3/doz (with vaccine)</t>
  </si>
  <si>
    <t>Normal (4–6 mo resilient)</t>
  </si>
  <si>
    <t>Avocado Supply Chain — Geopolitical Single-Source Risk (Mexico/Michoacán cartels, 2016–2026)</t>
  </si>
  <si>
    <t>Key producers: Michoacán avocado growers (~73% Mexico output). US retailers: Walmart, Whole Foods, Costco. Foodservice: Chipotle, McDonald's, Yum! Brands. Cartel actors: CJNG, Knights Templar. Regulator: USDA APHIS (inspection authority with Mexican field presence).</t>
  </si>
  <si>
    <t>Mexico: ~80–90% of US avocado supply. Michoacán: ~73% of Mexico output. US per capita consumption: 1.5 lbs (1990s) → 8–9 lbs/year (2023) — 5× increase. Super Bowl alone: ~120M avocados. June 2024 suspension: carton prices +40% in 1 week. Average 4 truckloads stolen per day in Michoacán. Trump Jan 2025: cartel FTO designation creates sanctions compliance risk for all US importers.</t>
  </si>
  <si>
    <t>N1 — Michoacán avocado orchards (~73% Mexico output)</t>
  </si>
  <si>
    <t>State of Michoacán in western Mexico. Heavily cartel-controlled territory — CJNG and smaller groups extort farmers, tax shipments and hijack trucks. Average 4 truckloads stolen per day. Drought stress worsening. USDA APHIS inspectors are physically present here — any threat to inspectors triggers immediate halt of ALL US avocado exports from the state.</t>
  </si>
  <si>
    <t>N2 — USDA APHIS inspection (critical export gate)</t>
  </si>
  <si>
    <t>All avocados exported from Mexico to the US must pass USDA phytosanitary inspection. Inspectors based in Michoacán. If inspectors face security threats or are assaulted, USDA immediately suspends all inspection activity — halting 100% of Michoacán exports to the US with no notice and no minimum duration. Occurred: Feb 2022 (1-week halt); June 2024 (1+ week, +40% carton price); August 2026 (ongoing).</t>
  </si>
  <si>
    <t>N3 — Mexico export supply chain (packing/logistics)</t>
  </si>
  <si>
    <t>Avocados packed at facilities, loaded onto refrigerated trucks. Route from Michoacán to US border: ~1,200–1,500 km. Cartel toll points extract payment en route. Average 4 truckloads hijacked per day.</t>
  </si>
  <si>
    <t>N4 — US importers and distributors</t>
  </si>
  <si>
    <t>~80 USDA-licensed US avocado importers. Mission Produce and CalPac are major distributors. Any USDA inspection suspension halts all in-transit and pending shipments simultaneously with no warning.</t>
  </si>
  <si>
    <t>N5 — US retail and foodservice (downstream)</t>
  </si>
  <si>
    <t>Avocado shelf space in US supermarkets is permanent year-round. Chipotle uses ~100,000 lbs/day. McDonald's, Subway and major chains have permanent avocado menu items. A 1-week halt sends carton prices +40% immediately.</t>
  </si>
  <si>
    <t>Avocados harvested from Michoacán orchards; cartel extortion payment at farm gate</t>
  </si>
  <si>
    <t>N1 Orchards</t>
  </si>
  <si>
    <t>Fruit transported to packing houses; USDA APHIS inspectors certify for US export</t>
  </si>
  <si>
    <t>N1 → N2 APHIS inspection</t>
  </si>
  <si>
    <t>Certified pallets loaded onto refrigerated trucks; cartel toll points en route to border</t>
  </si>
  <si>
    <t>N2 → N3 Export logistics</t>
  </si>
  <si>
    <t>Trucks cross US border at Laredo TX (primary crossing); cleared by US customs</t>
  </si>
  <si>
    <t>N3 → N4 US importers</t>
  </si>
  <si>
    <t>Distributed to US retail DCs, foodservice distributors, restaurant chains nationally</t>
  </si>
  <si>
    <t>N4 → N5 Downstream</t>
  </si>
  <si>
    <t>TRIGGER: Inspector threatened/assaulted → USDA suspends all inspection → 100% supply halt</t>
  </si>
  <si>
    <t>N2 Disruption node</t>
  </si>
  <si>
    <t>Normal: ~$0.50–$1.00 per avocado US retail. Suspension spike: carton prices +40% within days (June 2024). Mexico avocado export value: ~$3B/year to US. Cartel extortion: embedded criminal tax on every unit produced.</t>
  </si>
  <si>
    <t>Normal replenishment from Michoacán to US shelf: 5–10 days. Alternative origins (Peru, Chile, Dominican Republic): 14–21 days by sea. California domestic production: &lt;10% of US demand.</t>
  </si>
  <si>
    <t>Avocado cultivation: water-intensive (320 litres per avocado). Deforestation of Michoacán pine forests for orchard expansion is an ongoing issue. Long-haul truck logistics contributes to transport emissions.</t>
  </si>
  <si>
    <t>During inspection suspensions: perishable avocados in transit or at packing houses deteriorate. Mexican growers lose tens of millions of dollars per week during halts.</t>
  </si>
  <si>
    <t>Price-sensitive: 40%+ carton cost spikes compress foodservice margins. Consumers experience retail shortages during suspension events. Super Bowl-period disruptions generate major media coverage.</t>
  </si>
  <si>
    <t>EXTREME and recurring: any cartel incident in Michoacán inspection zones can halt all US avocado supply within hours. Outside US or corporate control. The FTO designation (2025) has added legal/sanctions compliance risk.</t>
  </si>
  <si>
    <t>Not directly impacted by cartel risk. Climate drought stress in 2025–2026 is affecting flowering and yield — a secondary quality/volume risk.</t>
  </si>
  <si>
    <t>Deforestation for avocado orchards; water depletion in Michoacán; cartel violence destabilising farming communities; farm worker exploitation all documented.</t>
  </si>
  <si>
    <t>Low — limited recovery of perishable product during supply disruptions.</t>
  </si>
  <si>
    <t>February 2022 trigger</t>
  </si>
  <si>
    <t>USDA inspector in Uruapan, Michoacán received a threatening cell phone message. USDA immediately suspended all Mexican avocado inspections for approximately 1 week — occurring days before the Super Bowl (~120M avocados consumed). Prices spiked nationally. Mexico deployed 1,500 troops to Michoacán.</t>
  </si>
  <si>
    <t>June 2024 trigger</t>
  </si>
  <si>
    <t>Two USDA APHIS inspectors were assaulted and detained at a police roadblock in Aranza, Michoacán during a protest. USDA suspended all avocado AND mango inspections for 1+ week. Carton prices rose 40% within days (RaboResearch). Mexican government deployed security forces.</t>
  </si>
  <si>
    <t>August 2026 trigger</t>
  </si>
  <si>
    <t>A cartel leader's arrest in Los Reyes area prompted security threats and protests. USDA suspended inspection activities. 300 security personnel deployed. US Embassy Mexico announced partial resumption August 8, 2026.</t>
  </si>
  <si>
    <t>Structural root cause</t>
  </si>
  <si>
    <t>Michoacán produces ~73% of Mexico's avocados. Mexico supplies ~80–90% of US avocados. USDA inspection requires agents physically present in cartel-controlled territory. Any credible threat to those agents immediately and legally halts all US exports. No alternative supply chain at sufficient scale exists to substitute Michoacán volume.</t>
  </si>
  <si>
    <t>Cartel FTO designation (Jan 2025)</t>
  </si>
  <si>
    <t>Trump administration designated Mexican cartels as Foreign Terrorist Organisations. Any contract with a supplier, permitting authority, subcontractor in Mexico may open potential charges related to terrorist financing. Grocery chains and restaurants now face a sanctions compliance risk on their standard avocado supply chain.</t>
  </si>
  <si>
    <t>Climate compounding</t>
  </si>
  <si>
    <t>Michoacán drought stress in 2025–2026 running at ~125% of 2024 drought intensity that disrupted flowering. Mexican Hass wholesale prices already expected +8–14% before any security disruption. Climate risk and security risk are compounding simultaneously on the same concentrated supply node.</t>
  </si>
  <si>
    <t>USDA immediate inspection suspension</t>
  </si>
  <si>
    <t>Mexico military deployment to inspection zones</t>
  </si>
  <si>
    <t>USDA inspector remote/third-party certification pilot</t>
  </si>
  <si>
    <t>Jalisco state USDA certification expansion</t>
  </si>
  <si>
    <t>Emergency supplier pre-certification (Peru/Chile/Dominican Republic)</t>
  </si>
  <si>
    <t>US domestic avocado production investment</t>
  </si>
  <si>
    <t>Cartel risk intelligence subscription for supply chain teams</t>
  </si>
  <si>
    <t>Multi-origin avocado sourcing strategy</t>
  </si>
  <si>
    <t>USDA inspector safety protocol reform</t>
  </si>
  <si>
    <t>When any inspector faces a credible threat, USDA immediately suspends all Michoacán inspection — zero tolerance for inspector safety risk</t>
  </si>
  <si>
    <t>Mexican government deploys army and federal police to protect USDA inspectors and enable inspection resumption</t>
  </si>
  <si>
    <t>Test alternative inspection models using certified Mexican government inspectors or third-party auditors to reduce physical USDA presence requirement in high-risk zones</t>
  </si>
  <si>
    <t>Accelerate USDA certification of Jalisco (Mexico's 2nd-largest producing state, authorised 2022) and State of Mexico as additional approved US export origins beyond Michoacán</t>
  </si>
  <si>
    <t>USDA pre-certifies alternative country import pathways so supply can be immediately redirected during Michoacán suspension events</t>
  </si>
  <si>
    <t>Federal and state incentives to expand California avocado acreage; support for new growing regions (Florida, Hawaii)</t>
  </si>
  <si>
    <t>Subscribe to specialist geopolitical intelligence services monitoring Michoacán cartel activity, USDA inspection status and security incidents near inspection zones — enabling 24–48 hour advance warning</t>
  </si>
  <si>
    <t>Large US retailers and QSR chains maintain active supplier relationships in 3+ approved origins (Michoacán, Jalisco, Peru, Chile, Dominican Republic) with defined switching protocols activated on USDA suspension events</t>
  </si>
  <si>
    <t>USDA and State Department implement enhanced inspector safety protocols — armoured vehicles, advance security clearance, real-time tracking, pre-screened safe inspection sites — reducing vulnerability to cartel threats without requiring full suspension</t>
  </si>
  <si>
    <t>Very High (market disruption)</t>
  </si>
  <si>
    <t>High (political/military)</t>
  </si>
  <si>
    <t>Medium (programme)</t>
  </si>
  <si>
    <t>High (multi-year investment)</t>
  </si>
  <si>
    <t>Medium (premium origins)</t>
  </si>
  <si>
    <t>Low-Med (security cost)</t>
  </si>
  <si>
    <t>Days-weeks</t>
  </si>
  <si>
    <t>Very Long (5–10 yr)</t>
  </si>
  <si>
    <t>Fast (if pre-arranged)</t>
  </si>
  <si>
    <t>Higher (longer shipping)</t>
  </si>
  <si>
    <t>Higher (longer routes)</t>
  </si>
  <si>
    <t>Partially Managed</t>
  </si>
  <si>
    <t>Reduced while deployed</t>
  </si>
  <si>
    <t>Partially Protected</t>
  </si>
  <si>
    <t>Non-negotiable — inspector safety is paramount; the disruption cost is the price of operating in cartel-controlled territory</t>
  </si>
  <si>
    <t>Short-term fix — military presence enables resumption but does not address underlying cartel control of the territory</t>
  </si>
  <si>
    <t>Medium-term structural option — requires USDA regulatory change but reduces reliance on USDA agents physically working in cartel zones</t>
  </si>
  <si>
    <t>Ongoing — Jalisco 2022 certification has created a partial backup; State of Mexico has ~145,000 MT capacity awaiting USDA approval as of 2026</t>
  </si>
  <si>
    <t>Most actionable short-term resilience tool — pre-certification compresses response from months to days when Michoacán halts</t>
  </si>
  <si>
    <t>Reduces but cannot eliminate Mexico dependency — California cannot substitute Michoacán volume at current US consumption levels</t>
  </si>
  <si>
    <t>All three suspension events (2022, 2024, 2026) were predictable 24–48 hours in advance to anyone monitoring Mexican security news — most supply chain teams were not monitoring</t>
  </si>
  <si>
    <t>For any company sourcing &gt;1,000 avocado units/week — origin diversification is the only reliable buffer against Michoacán suspension events</t>
  </si>
  <si>
    <t>The current binary (inspect safely / suspend entirely) creates all-or-nothing supply events — enhanced safety protocols could enable partial or tiered inspection during elevated security situations</t>
  </si>
  <si>
    <t>High (political)</t>
  </si>
  <si>
    <t>Reduced (temp)</t>
  </si>
  <si>
    <t>Higher (shipping)</t>
  </si>
  <si>
    <t>Fast (pre-arranged)</t>
  </si>
  <si>
    <t>State of Mexico USDA export approval (expedite)</t>
  </si>
  <si>
    <t>Avocado ripening centre buffer network</t>
  </si>
  <si>
    <t>Supply disruption insurance — fresh produce Mexico risk</t>
  </si>
  <si>
    <t>Avocado blockchain supply chain transparency programme</t>
  </si>
  <si>
    <t>Farmer cooperative security programme</t>
  </si>
  <si>
    <t>Industry associations collectively petition USDA to expedite phytosanitary approval for State of Mexico avocado exports (145,000 MT/year capacity already producing, awaiting USDA clearance 2026)</t>
  </si>
  <si>
    <t>Major distributors invest in ripening centres distributed across US regions holding 5–7 days of unripe-held inventory — extending effective shelf life during supply suspension events</t>
  </si>
  <si>
    <t>Commodity buyers purchase trade credit and supply disruption insurance specifically triggered by USDA Mexico inspection suspension — covering price spike premiums for alternative sourcing</t>
  </si>
  <si>
    <t>Implement blockchain traceability from Michoacán orchard to US retailer — enabling buyers to verify ethical sourcing, cartel non-involvement, and farm worker conditions; supports FTO compliance documentation</t>
  </si>
  <si>
    <t>Support Michoacán farmer cooperatives to collectively fund private security arrangements independent of cartel extortion — reducing cartel leverage on individual farmers</t>
  </si>
  <si>
    <t>Low (advocacy)</t>
  </si>
  <si>
    <t>Medium (capex)</t>
  </si>
  <si>
    <t>Medium (long-term programme)</t>
  </si>
  <si>
    <t>Fast (policy)</t>
  </si>
  <si>
    <t>Compliance managed</t>
  </si>
  <si>
    <t>Easiest structural fix available — production is ready; only regulatory approval is required to add a third Mexican state to the approved supply base</t>
  </si>
  <si>
    <t>Avocados can be held as unripe fruit for 2–3 weeks — a distributed ripening centre network effectively extends the usable buffer during supply disruptions</t>
  </si>
  <si>
    <t>Financial backstop — cannot prevent the disruption but limits the P&amp;L impact on food companies during suspension events</t>
  </si>
  <si>
    <t>After FTO designation — FTO compliance documentation requires traceability that current supply chain cannot provide; blockchain creates auditable evidence trail</t>
  </si>
  <si>
    <t>Addresses the root cause of farmer vulnerability to cartel extortion — collective security reduces individual exposure; requires sustained NGO/government partnership</t>
  </si>
  <si>
    <t>~$0.50–$1.00/unit</t>
  </si>
  <si>
    <t>5–10 days</t>
  </si>
  <si>
    <t>High (water use)</t>
  </si>
  <si>
    <t>Negative (deforestation)</t>
  </si>
  <si>
    <t>Carton +40%+</t>
  </si>
  <si>
    <t>Weeks (emergency reroute)</t>
  </si>
  <si>
    <t>Waste (spoilage)</t>
  </si>
  <si>
    <t>Spoilage risk</t>
  </si>
  <si>
    <t>Waste negative</t>
  </si>
  <si>
    <t>~$0.60–$1.10/unit</t>
  </si>
  <si>
    <t>5–14 days (multi-origin)</t>
  </si>
  <si>
    <t>Somewhat improved</t>
  </si>
  <si>
    <t>Slightly Improved</t>
  </si>
  <si>
    <t>~$0.55–$1.05/unit</t>
  </si>
  <si>
    <t>5–10 days restored</t>
  </si>
  <si>
    <t>Improved (less deforestation)</t>
  </si>
  <si>
    <t>De Beers Diamond Supply Chain — Artificial Scarcity by Design (1888–2026)</t>
  </si>
  <si>
    <t>De Beers (now part of Anglo American; put up for sale 2024). Competitors: ALROSA (Russia, ~30% global output, sanctioned 2022), Rio Tinto, Dominion Diamond. Lab-grown disruptors: Lightbox (De Beers own brand), Diamond Foundry, Clean Origin. Antwerp: ~80% rough diamond trading hub. Surat: cuts/polishes ~90% of global gem diamonds.</t>
  </si>
  <si>
    <t>De Beers controlled 80–90% global diamond supply (1888–late 1990s); now ~33%. Lab-grown diamonds: ~50% of US engagement rings by 2023. Natural diamond wholesale benchmark (1-carat D-IF): ~$62,000 (1980) → ~$13,500 (2026) — 78% nominal decline. Russia ALROSA (30% global rough supply) sanctioned 2022. De Beers put up for sale by Anglo American 2024.</t>
  </si>
  <si>
    <t>N1 — Primary mines (Botswana/SA/Namibia/Russia/Canada)</t>
  </si>
  <si>
    <t>Natural diamond production concentrated in Botswana (De Beers JV Debswana, ~70% of De Beers supply), South Africa, Namibia, Russia (ALROSA ~30% global), Canada, Australia. Geological scarcity is real but amplified — De Beers historically stockpiled excess production to prevent market flooding and maintain price levels.</t>
  </si>
  <si>
    <t>N2 — De Beers sight system (controlled distribution)</t>
  </si>
  <si>
    <t>De Beers distributes rough diamonds 10× per year to ~80 approved "sightholders" at non-negotiable prices. Historically controlled both price AND volume simultaneously. Sightholders cannot refuse allocations without risking future access. This system maintained artificial scarcity for 100+ years.</t>
  </si>
  <si>
    <t>N3 — Cutting and polishing centres (Antwerp/Surat/Dubai)</t>
  </si>
  <si>
    <t>Antwerp handles ~80% of rough diamond trading. Surat, India cuts and polishes ~90% of global gem diamonds. Dubai emerging as new hub. Highly skilled labour; tight community networks; vulnerable to rough supply disruption from Russian sanctions (2022).</t>
  </si>
  <si>
    <t>N4 — Jewellery manufacturing and retail</t>
  </si>
  <si>
    <t>Brands: Tiffany, Cartier, Harry Winston, Signet Jewelers. Department stores, independent jewellers, online retailers. Lab-grown brands now available at Walmart and Zeeman at a fraction of natural diamond prices — destroying the aspirational premium in the mass market.</t>
  </si>
  <si>
    <t>N5 — Lab-grown diamond production (disruptor node)</t>
  </si>
  <si>
    <t>CVD (Chemical Vapour Deposition) and HPHT processes grow chemically identical diamonds in 2–4 weeks. Marginal cost of lab-grown production falling ~20%/year. Only advanced GIA testing can distinguish lab-grown from mined. Surveys 2023: ~50% of US engagement rings now lab-grown.</t>
  </si>
  <si>
    <t>Rough diamonds mined from kimberlite pipes and alluvial deposits</t>
  </si>
  <si>
    <t>N1 Primary mines</t>
  </si>
  <si>
    <t>De Beers and other producers sort, stockpile and release controlled volumes to market via sight system</t>
  </si>
  <si>
    <t>N1 → N2 Controlled distribution</t>
  </si>
  <si>
    <t>Sightholders purchase allocations at non-negotiated prices; rough traded through Antwerp</t>
  </si>
  <si>
    <t>N2 → N3 Antwerp trading</t>
  </si>
  <si>
    <t>Rough cut and polished primarily in Surat India; graded by GIA; certified as natural or lab-grown</t>
  </si>
  <si>
    <t>N3 Cutting/polishing</t>
  </si>
  <si>
    <t>Polished stones sold to jewellery manufacturers; set into engagement rings, necklaces, earrings</t>
  </si>
  <si>
    <t>N3 → N4 Jewellery manufacturing</t>
  </si>
  <si>
    <t>DISRUPTION: Lab-grown diamonds enter at N4 at 80–95% lower price with identical appearance</t>
  </si>
  <si>
    <t>N5 → N4 Technology disruption</t>
  </si>
  <si>
    <t>Natural diamond (1-carat D-IF): ~$62,000 wholesale 1980 → ~$13,500 wholesale 2026 (78% nominal decline). Lab-grown equivalent: ~$500–$1,500 wholesale. De Beers "A Diamond is Forever" marketing: hundreds of millions annually for decades.</t>
  </si>
  <si>
    <t>Mine to polished stone: 2–3 years typical pipeline. Lab-grown: 2–4 weeks grow cycle. This 50× lead time advantage of lab-grown is reshaping supply chain economics fundamentally.</t>
  </si>
  <si>
    <t>Open-pit diamond mining: significant land disruption and carbon footprint. Lab-grown: energy-intensive but carbon footprint depends on energy source — renewable-powered CVD labs claim near-zero carbon diamonds.</t>
  </si>
  <si>
    <t>Mining: significant overburden removal (tons of rock per carat). Lab-grown: minimal physical waste. Blood diamond dimension: conflict financing, partially addressed by Kimberley Process Certification Scheme (2003).</t>
  </si>
  <si>
    <t>Shifting rapidly: lab-grown buyers report same emotional satisfaction at much lower price. Natural diamond price decline undermines the "investment value" narrative that supported premium pricing for decades.</t>
  </si>
  <si>
    <t>Existential risk to natural diamond value proposition: lab-grown at 10× lower price, identical appearance, growing consumer acceptance (~50% US engagement rings 2023). The artificial scarcity model that supported pricing for 130 years has collapsed.</t>
  </si>
  <si>
    <t>No measurable difference: lab-grown diamonds are chemically, physically and optically identical to mined diamonds. GIA certification is required to distinguish them — retail consumers cannot see the difference.</t>
  </si>
  <si>
    <t>Natural mining: complex trade-offs (community employment vs environmental disruption). Lab-grown: presented as more sustainable but energy-intensive. Conflict diamond history partially addressed by Kimberley Process.</t>
  </si>
  <si>
    <t>Low historically — diamonds not recycled into new stones. Estate/second-hand market exists but small. Lab-grown creates a potential circular model as production costs approach zero.</t>
  </si>
  <si>
    <t>Engineered scarcity model (1888–1990s)</t>
  </si>
  <si>
    <t>De Beers controlled 80–90% of global rough diamond supply. By releasing limited quantities while stockpiling excess, maintained artificial scarcity. "A Diamond is Forever" (1947) manufactured consumer demand to match controlled supply. A supply chain engineered to create the APPEARANCE of scarcity where geological scarcity alone was insufficient.</t>
  </si>
  <si>
    <t>Monopoly weakening (1990s–2010s)</t>
  </si>
  <si>
    <t>Russia (ALROSA), Australia (Argyle), Canada entered production outside De Beers control. Antitrust pressure — De Beers settled US antitrust case early 2000s, paying $10M and altering business practices. De Beers share fell from 90% to ~33%. Pricing power reduced but oligopoly maintained.</t>
  </si>
  <si>
    <t>Russia-Ukraine sanctions (2022)</t>
  </si>
  <si>
    <t>ALROSA — Russia's state diamond company producing ~30% of global rough supply — sanctioned by US and EU following Ukraine invasion. Antwerp trading complex had to restructure sourcing away from Russian stones. Significant rough supply disruption to the global cutting industry.</t>
  </si>
  <si>
    <t>Lab-grown diamond disruption (2015–2026)</t>
  </si>
  <si>
    <t>CVD technology matured to produce gem-quality diamonds at scale. Lab-grown wholesale prices falling ~20%/year. Surveys 2023: nearly half of US engagement rings set with lab-grown stones. De Beers launched own lab-grown brand (Lightbox) in 2018 — pricing at $800 vs $5,000+ for natural equivalents. Natural diamond wholesale prices declining sharply.</t>
  </si>
  <si>
    <t>De Beers sale (2024)</t>
  </si>
  <si>
    <t>Anglo American announced intention to divest De Beers 2024, citing strategic portfolio review. De Beers put up for sale after 130+ years of Oppenheimer family and Anglo control. Reflects the fundamental challenge to natural diamond economics from lab-grown disruption and falling wholesale prices.</t>
  </si>
  <si>
    <t>Supply chain lesson (unique)</t>
  </si>
  <si>
    <t>De Beers is NOT a disruption case in the traditional sense — it is the INVERSE: a company that engineered its supply chain to create artificial disruption (scarcity) as a value-creation strategy. The lesson is that supply chain monopoly collapses when technology removes the underlying scarcity entirely. Lab-grown diamonds did not compete with mined diamonds — they made the concept of diamond scarcity structurally impossible.</t>
  </si>
  <si>
    <t>Maintain controlled sightholder distribution system</t>
  </si>
  <si>
    <t>Stockpile excess rough during demand downturns</t>
  </si>
  <si>
    <t>Launch Lightbox — own lab-grown brand at low price</t>
  </si>
  <si>
    <t>Kimberley Process Certification (anti-conflict diamonds)</t>
  </si>
  <si>
    <t>Tracr blockchain — natural diamond provenance</t>
  </si>
  <si>
    <t>De Beers sale to new strategic owner (2024+)</t>
  </si>
  <si>
    <t>Two-tier market positioning — natural=heirloom, lab=fashion</t>
  </si>
  <si>
    <t>Climate-neutral certified diamond programme</t>
  </si>
  <si>
    <t>Continue releasing only controlled volumes of rough diamonds to approved sightholders at non-negotiated prices — maintaining artificial scarcity</t>
  </si>
  <si>
    <t>Purchase excess production from independent producers and store in London vaults rather than allow market flooding and price collapse</t>
  </si>
  <si>
    <t>De Beers launches Lightbox lab-grown diamond brand in 2018, explicitly positioning lab-grown as fashion product ($800) vs natural diamond as investment/luxury item ($5,000+)</t>
  </si>
  <si>
    <t>Participate in and enforce the Kimberley Process Certification Scheme (2003) certifying rough diamonds as conflict-free</t>
  </si>
  <si>
    <t>De Beers launches Tracr blockchain platform to certify the origin and ethical extraction of each natural diamond from mine to retail</t>
  </si>
  <si>
    <t>Anglo American divests De Beers to a strategic acquirer better positioned to manage the transition to a post-monopoly, lab-grown-disrupted diamond market</t>
  </si>
  <si>
    <t>Industry-wide marketing campaign explicitly defining natural diamonds as heirloom/investment items and lab-grown as fashion/gifting — preserving premium segment while conceding volume segment</t>
  </si>
  <si>
    <t>Develop third-party certified carbon-neutral mining programme for natural diamonds — addressing the sustainability argument that lab-grown currently wins on</t>
  </si>
  <si>
    <t>Low (operational)</t>
  </si>
  <si>
    <t>High (working capital)</t>
  </si>
  <si>
    <t>Medium (brand investment)</t>
  </si>
  <si>
    <t>Very High (transaction)</t>
  </si>
  <si>
    <t>High (marketing)</t>
  </si>
  <si>
    <t>High (operations)</t>
  </si>
  <si>
    <t>Negative (mine without sale)</t>
  </si>
  <si>
    <t>Lower (lab-grown)</t>
  </si>
  <si>
    <t>Monopoly maintained</t>
  </si>
  <si>
    <t>Price stabilised</t>
  </si>
  <si>
    <t>Reputational hedge</t>
  </si>
  <si>
    <t>Reputation managed</t>
  </si>
  <si>
    <t>New ownership strategy</t>
  </si>
  <si>
    <t>Reputation Improved</t>
  </si>
  <si>
    <t>High (natural)</t>
  </si>
  <si>
    <t>Same (lab-grown quality)</t>
  </si>
  <si>
    <t>High (provenance)</t>
  </si>
  <si>
    <t>High (verified)</t>
  </si>
  <si>
    <t>Protected (premium)</t>
  </si>
  <si>
    <t>Stable pricing</t>
  </si>
  <si>
    <t>Segmented (two markets)</t>
  </si>
  <si>
    <t>Protected (ethics-sensitive)</t>
  </si>
  <si>
    <t>Improved (traceability)</t>
  </si>
  <si>
    <t>Segmented</t>
  </si>
  <si>
    <t>Negative (restriction)</t>
  </si>
  <si>
    <t>Improved (lab option)</t>
  </si>
  <si>
    <t>Potentially higher (lab-grown)</t>
  </si>
  <si>
    <t>While monopoly power exists and supply control is comprehensive — the 100-year De Beers strategy; only effective when &gt;70% supply control is maintained</t>
  </si>
  <si>
    <t>When De Beers controls &gt;70% of supply — a company with &lt;33% cannot effectively buffer the whole market; strategy lost viability as market share declined</t>
  </si>
  <si>
    <t>When lab-grown disruption is inevitable — attempt to own and reframe the category rather than fight it; partially successful but price signal undermines natural diamond value narrative</t>
  </si>
  <si>
    <t>After blood diamond scandals — essential for brand protection and market access in ethically-sensitive consumer markets globally</t>
  </si>
  <si>
    <t>Differentiation strategy against lab-grown: natural diamonds can have verified ethical provenance and geological story that lab-grown cannot replicate</t>
  </si>
  <si>
    <t>When parent company's strategic review concludes the diamond business no longer fits the portfolio — acknowledging the fundamental disruption</t>
  </si>
  <si>
    <t>The Lightbox strategy generalised — price-tier the two categories so they serve different consumer needs rather than compete directly on the same value proposition</t>
  </si>
  <si>
    <t>Lab-grown companies claim sustainability advantage — carbon-neutral certified natural diamonds directly contest this differentiation and appeal to ESG-conscious consumers</t>
  </si>
  <si>
    <t>High (capital)</t>
  </si>
  <si>
    <t>Negative (mining)</t>
  </si>
  <si>
    <t>Stable</t>
  </si>
  <si>
    <t>Lower (lab)</t>
  </si>
  <si>
    <t>Same</t>
  </si>
  <si>
    <t>Rep. hedge</t>
  </si>
  <si>
    <t>Rep. managed</t>
  </si>
  <si>
    <t>New strategy</t>
  </si>
  <si>
    <t>Significantly ↓</t>
  </si>
  <si>
    <t>Rep. Improved</t>
  </si>
  <si>
    <t>Natural diamond provenance — verified mine-to-ring traceability</t>
  </si>
  <si>
    <t>Mandatory point-of-sale lab-grown disclosure standard</t>
  </si>
  <si>
    <t>Artisanal and small-scale mining (ASM) ethical sourcing programme</t>
  </si>
  <si>
    <t>Natural diamond investment grade registry</t>
  </si>
  <si>
    <t>Alliance with lab-grown on sustainability standards</t>
  </si>
  <si>
    <t>Invest in blockchain-verified complete traceability for ALL natural diamonds, making the specific mine, community benefit and ethical certification visible to the end consumer — the one dimension lab-grown cannot replicate</t>
  </si>
  <si>
    <t>Industry supports mandatory global disclosure requirements at time of sale: retailers must disclose whether a stone is lab-grown or natural to all consumers before purchase</t>
  </si>
  <si>
    <t>Formalise ethical sourcing from ASM operations in Africa and South America — creating a traceable, community-benefit premium tier of natural diamonds that directly competes on ethics with lab-grown</t>
  </si>
  <si>
    <t>Create an independent registry for investment-grade natural diamonds (1 carat+ certified) with transparent price history, GIA certificate tracking and secondary market facilitation</t>
  </si>
  <si>
    <t>Rather than fighting lab-grown, establish an industry-wide diamond sustainability standard covering both natural and lab-grown — De Beers leads this standard to maintain industry influence</t>
  </si>
  <si>
    <t>Medium (technology)</t>
  </si>
  <si>
    <t>Low-Med (alliance building)</t>
  </si>
  <si>
    <t>Reputation Managed</t>
  </si>
  <si>
    <t>Market clarity</t>
  </si>
  <si>
    <t>Market Clarity</t>
  </si>
  <si>
    <t>Industry influence maintained</t>
  </si>
  <si>
    <t>Protected (natural premium)</t>
  </si>
  <si>
    <t>High (registry)</t>
  </si>
  <si>
    <t>High (both categories)</t>
  </si>
  <si>
    <t>Improved (trust)</t>
  </si>
  <si>
    <t>Natural diamonds' sustainable differentiation is their unique geological origin story; lab-grown cannot have "came from a 1B-year-old kimberlite in Botswana" authenticity — verified provenance is the premium worth paying for</t>
  </si>
  <si>
    <t>Consumer deception is the primary reputational risk — mandatory disclosure protects the natural diamond category by ensuring consumers make informed choices</t>
  </si>
  <si>
    <t>Lab-grown companies claim to be helping communities by not mining — an ASM programme with verified community benefit payments directly contests this claim with evidence</t>
  </si>
  <si>
    <t>Rebuilds the "investment value" narrative with transparency and verified price data rather than artificial scarcity — appeals to collectors and high-net-worth buyers</t>
  </si>
  <si>
    <t>Positions De Beers as the responsible actor in both market segments rather than the defender of a failing monopoly model</t>
  </si>
  <si>
    <t>Rep. Managed</t>
  </si>
  <si>
    <t>Industry influence</t>
  </si>
  <si>
    <t>High (both)</t>
  </si>
  <si>
    <t>~$62,000/carat wholesale (1980)</t>
  </si>
  <si>
    <t>2–3 years mine to ring</t>
  </si>
  <si>
    <t>High (mining)</t>
  </si>
  <si>
    <t>Controlled (artificial)</t>
  </si>
  <si>
    <t>High (aspirational)</t>
  </si>
  <si>
    <t>~$13,500/carat (2026; -78%)</t>
  </si>
  <si>
    <t>2–3yr natural; 2–4wk lab</t>
  </si>
  <si>
    <t>Higher (lab energy)</t>
  </si>
  <si>
    <t>Disrupted (lab-grown)</t>
  </si>
  <si>
    <t>Same quality (lab-grown)</t>
  </si>
  <si>
    <t>Splitting (50% lab 2023)</t>
  </si>
  <si>
    <t>Improving (lab option)</t>
  </si>
  <si>
    <t>Higher (lab-grown)</t>
  </si>
  <si>
    <t>Natural $15–20K/carat (verified); lab $300–800</t>
  </si>
  <si>
    <t>Carbon-neutral natural</t>
  </si>
  <si>
    <t>Managed (differentiated)</t>
  </si>
  <si>
    <t>High (certified)</t>
  </si>
  <si>
    <t>Positive (certified)</t>
  </si>
  <si>
    <t>Samsung Galaxy Note 7 Battery Fires and Recall (2016) — dual supplier failure and product discontinuation</t>
  </si>
  <si>
    <t>Samsung Electronics (OEM). Primary battery: Samsung SDI (Samsung subsidiary). Replacement battery: ATL / Amperex Technology Limited (Hong Kong). Regulators: CPSC (US), FAA, EASA. Carriers: AT&amp;T, Verizon, T-Mobile, Sprint. Competitor context: Apple iPhone 7 (launched same period).</t>
  </si>
  <si>
    <t>2.5M units recalled (first recall, Sept 2016). 3.1M total devices recalled and discontinued. Total cost: ~$5.3 billion. ~$17 billion market cap lost. Global airline ban (cabin and checked luggage). 96% global return rate achieved. 26 US burn injuries; 55 property damage events including car fires. Both SDI AND ATL batteries independently failed through different defect mechanisms.</t>
  </si>
  <si>
    <t>N1 — Samsung SDI (primary battery supplier)</t>
  </si>
  <si>
    <t>Samsung subsidiary providing lithium-ion batteries for Galaxy Note 7. Defect: insufficient insulation tape at positive electrode corner causing short-circuit under physical compression. Supplied 70% of Note 7 batteries. Orders immediately stopped upon first recall.</t>
  </si>
  <si>
    <t>N2 — ATL / Amperex Technology Limited (backup supplier)</t>
  </si>
  <si>
    <t>Hong Kong-based battery maker engaged as replacement supplier after SDI defect confirmed. Defect in replacement batteries: welding burrs on positive electrode and missing insulation tape in a different location — a separate defect from SDI's but with the same outcome (fire). When ATL batteries also caught fire, Samsung discontinued the Note 7 entirely.</t>
  </si>
  <si>
    <t>N3 — Samsung Electronics (OEM/designer)</t>
  </si>
  <si>
    <t>Rushed Note 7 launch to beat iPhone 7. Designed battery cavity too small for desired battery capacity — leaving insufficient manufacturing tolerance for either supplier. Competitive time pressure compressed supplier qualification process for both SDI and ATL.</t>
  </si>
  <si>
    <t>N4 — Wireless carriers and retailers</t>
  </si>
  <si>
    <t>AT&amp;T, Verizon, T-Mobile, Best Buy, Samsung.com. Devices priced $850–890. Had to manage returns of 3.1M units. Replacement device programme created 2+ week supply delay, leaving millions of customers without a phone during the exchange.</t>
  </si>
  <si>
    <t>N5 — Regulators and aviation authorities</t>
  </si>
  <si>
    <t>CPSC issued an official product ban in the US. FAA and EASA banned Note 7 from all flights — initially from cabin use, then from checked luggage. Airlines enforced at gate with announcements. The aviation ban made the Note 7 commercially unusable regardless of any safety fix.</t>
  </si>
  <si>
    <t>Battery cells manufactured by Samsung SDI and ATL to Samsung specifications</t>
  </si>
  <si>
    <t>N1 + N2 Battery suppliers</t>
  </si>
  <si>
    <t>Battery packs assembled and shipped to Samsung Electronics assembly facilities (Foxconn)</t>
  </si>
  <si>
    <t>N1/N2 → N3 Samsung assembly</t>
  </si>
  <si>
    <t>Galaxy Note 7 assembled with battery; shipped to carriers/retailers for sale at $850–890</t>
  </si>
  <si>
    <t>N3 → N4 Distribution</t>
  </si>
  <si>
    <t>Consumers purchase and charge devices; battery overheating and fire events occur</t>
  </si>
  <si>
    <t>N4 → Consumer — failure</t>
  </si>
  <si>
    <t>Samsung initiates first recall; replaces SDI batteries with ATL replacement units</t>
  </si>
  <si>
    <t>N3 — First recall</t>
  </si>
  <si>
    <t>ATL replacement units also catch fire; Samsung permanently discontinues Note 7 globally</t>
  </si>
  <si>
    <t>N2 → N3 → N5 — Full recall and discontinuation</t>
  </si>
  <si>
    <t>Total estimated: $5.3 billion (recall logistics, replacement devices, lost sales, reputation). Market cap lost: ~$17 billion. First recall only: ~$1 billion (Bloomberg initial). Note 7 retail value of recalled stock: 3.1M × ~$870 = ~$2.7B.</t>
  </si>
  <si>
    <t>Replacement device production time: 2+ weeks minimum. Consumers left without phone during exchange. Full resolution: August (launch) to October 2016 (discontinuation) — 2 months of crisis. 96% return rate took 3 months to achieve.</t>
  </si>
  <si>
    <t>Manufacturing + shipping 3.1M devices then recalling and destroying them: significant unnecessary carbon footprint. Lithium-ion battery disposal: hazardous waste management required at scale.</t>
  </si>
  <si>
    <t>Extremely High: 3.1M devices manufactured, shipped, sold, recalled and destroyed. Battery disposal: lithium-ion batteries require specialist hazardous waste handling. Entire manufacturing cycles wasted due to a design/quality failure.</t>
  </si>
  <si>
    <t>Catastrophically low: recalled twice, banned from flights, product discontinued. 26 US burn injuries. Car fires. Airline ban meant Note 7 owners could not fly with device at all. Brand trust severely damaged.</t>
  </si>
  <si>
    <t>EXTREME (realised): backup supplier (ATL) not independently qualified under Note 7 chassis constraints. Same failure outcome (battery fire) from two different suppliers through two different mechanisms.</t>
  </si>
  <si>
    <t>Failed at design stage: battery cavity designed too small, leaving insufficient manufacturing tolerance for EITHER supplier to produce reliably safe batteries. Competitive rush compressed quality validation timeline.</t>
  </si>
  <si>
    <t>Very Negative: mass production of millions of units all destroyed/recalled. Battery fire incidents: hazardous chemical exposure. Lithium-ion battery disposal creates hazardous waste burden.</t>
  </si>
  <si>
    <t>Very Low: recalled batteries required specialist disposal. No viable recycling pathway for defective lithium-ion batteries at this scale and timeline.</t>
  </si>
  <si>
    <t>August 2016: Galaxy Note 7 launched to record pre-orders. Within days of consumer delivery, reports of battery overheating and fire. 92 reports in US including 26 burn injuries and 55 property damage events before first recall announcement (September 2, 2016).</t>
  </si>
  <si>
    <t>First recall (Sept 2016)</t>
  </si>
  <si>
    <t>2.5 million units recalled globally. Samsung identified Samsung SDI as defective supplier. SDI defect: insufficient insulation tape at positive electrode corner causing short-circuit under physical compression. Samsung replaced with ATL batteries and restarted sales of "safe" replacement Note 7 units.</t>
  </si>
  <si>
    <t>Second recall + discontinuation (Oct 2016)</t>
  </si>
  <si>
    <t>Replacement Note 7 units (with ATL batteries) ALSO caught fire. ATL defect: welding burrs on positive electrode and missing insulation tape in a different location — a separate defect from SDI's. Samsung permanently discontinued the Note 7 on October 11, 2016. Both the primary AND the backup battery supplier had independently failed.</t>
  </si>
  <si>
    <t>Root cause — design</t>
  </si>
  <si>
    <t>The Note 7's battery cavity was designed too small for the desired battery capacity, leaving insufficient manufacturing tolerance for either supplier. Both suppliers independently failed for different reasons caused by the same underlying design constraint: the batteries were too large for the space they were fitted into. Media coverage showed how a rush to meet demand and beat competitors stressed the supply chain.</t>
  </si>
  <si>
    <t>Root cause — process</t>
  </si>
  <si>
    <t>Competitive time pressure — Samsung deliberately launched before Apple iPhone 7 — compressed both the design validation and the supplier qualification timeline. The additional fact that Samsung's battery supplier services other phone makers like Apple, who have not experienced similar issues, places further blame on Samsung for the problems.</t>
  </si>
  <si>
    <t>Aviation ban impact</t>
  </si>
  <si>
    <t>Global airline ban on Note 7 — first in cabin, then in checked luggage — meant Note 7 owners could not fly with their device. Operationally and legally unprecedented for a consumer electronic device and permanently ended the product's commercial viability even if safety could theoretically have been fixed.</t>
  </si>
  <si>
    <t>Initiate voluntary first recall (SDI battery)</t>
  </si>
  <si>
    <t>Switch to backup battery supplier (ATL) without extended qualification</t>
  </si>
  <si>
    <t>Permanently discontinue Galaxy Note 7</t>
  </si>
  <si>
    <t>Implement 8-point battery safety check protocol</t>
  </si>
  <si>
    <t>Commission 700-researcher forensic investigation</t>
  </si>
  <si>
    <t>Achieve 96% global return rate</t>
  </si>
  <si>
    <t>Galaxy S8 launch with enhanced safety and apologetic marketing</t>
  </si>
  <si>
    <t>Obtain official safety certification before ATL replacement launch</t>
  </si>
  <si>
    <t>Samsung recalls 2.5M Note 7 units globally; offers replacement devices with ATL batteries; targets 100% return rate</t>
  </si>
  <si>
    <t>Samsung engaged ATL as replacement supplier and restarted Note 7 production with insufficient time to fully qualify ATL batteries under Note 7 chassis constraints</t>
  </si>
  <si>
    <t>October 2016: Samsung permanently halts Note 7 production and sales globally after ATL batteries also fail</t>
  </si>
  <si>
    <t>Samsung introduces comprehensive 8-point battery testing protocol: dimension inspection, X-ray, charge/discharge, TVOC measurement, visual, OCV, accelerated degradation, disassembly inspection — for all future Samsung batteries</t>
  </si>
  <si>
    <t>Samsung commissions cross-functional investigation team including VP oversight, three independent testing organisations and 700 researchers over 120 days to identify both battery defect root causes</t>
  </si>
  <si>
    <t>Samsung aggressively drives device returns through carrier cooperation, software updates bricking devices, airline enforcement and consumer outreach globally</t>
  </si>
  <si>
    <t>Samsung launches Galaxy S8 (April 2017) with 8-point safety protocol, apologetic tone, and enhanced quality messaging — demonstrating learning from Note 7</t>
  </si>
  <si>
    <t>Samsung should have obtained independent third-party safety certification of ATL batteries under actual Note 7 operating conditions before restarting sales — this was NOT done</t>
  </si>
  <si>
    <t>Very High (~$1B initial)</t>
  </si>
  <si>
    <t>Very High ($5.3B total)</t>
  </si>
  <si>
    <t>Medium (process cost)</t>
  </si>
  <si>
    <t>Low-Med (investigation)</t>
  </si>
  <si>
    <t>Very High (logistics/incentives)</t>
  </si>
  <si>
    <t>Medium (marketing premium)</t>
  </si>
  <si>
    <t>Medium (certification cost)</t>
  </si>
  <si>
    <t>2 weeks</t>
  </si>
  <si>
    <t>Immediate (final)</t>
  </si>
  <si>
    <t>Immediate for S8</t>
  </si>
  <si>
    <t>120 days</t>
  </si>
  <si>
    <t>3 months</t>
  </si>
  <si>
    <t>7 months post-Note 7</t>
  </si>
  <si>
    <t>2–4 additional weeks</t>
  </si>
  <si>
    <t>Lower (stops production)</t>
  </si>
  <si>
    <t>High (shipping waste)</t>
  </si>
  <si>
    <t>Appeared Managed (not actually)</t>
  </si>
  <si>
    <t>Fully Managed</t>
  </si>
  <si>
    <t>Structurally Reduced (future)</t>
  </si>
  <si>
    <t>Understood (post-hoc)</t>
  </si>
  <si>
    <t>Safety Risk Managed</t>
  </si>
  <si>
    <t>Eliminated (second recall)</t>
  </si>
  <si>
    <t>ATL replacement — not yet verified</t>
  </si>
  <si>
    <t>Assumed high (WRONG)</t>
  </si>
  <si>
    <t>n/a (product gone)</t>
  </si>
  <si>
    <t>High (S8 safe)</t>
  </si>
  <si>
    <t>Low during exchange</t>
  </si>
  <si>
    <t>Briefly Restored</t>
  </si>
  <si>
    <t>Trust Damaged</t>
  </si>
  <si>
    <t>Improved (explanation)</t>
  </si>
  <si>
    <t>Partially Restored</t>
  </si>
  <si>
    <t>When safety defect confirmed — immediate recall is the only option; the speed (days after reports) was commendably fast even though the replacement strategy proved flawed</t>
  </si>
  <si>
    <t>WRONG DECISION: replacing a defective supplier without full independent qualification under the specific product conditions. The backup was not verified safe for the Note 7 chassis specifically.</t>
  </si>
  <si>
    <t>Inevitable once second supplier also failed — no third battery supplier could be qualified quickly enough; product discontinuation was the only remaining option</t>
  </si>
  <si>
    <t>After dual supplier failure — systematic quality protocol that became industry standard across smartphone manufacturers globally</t>
  </si>
  <si>
    <t>After product discontinuation — required to explain what went wrong to consumers, regulators and industry; demonstrated learning commitment</t>
  </si>
  <si>
    <t>When a product poses fire risk and is banned from aviation — 96% recovery rate is required for consumer safety and liability management</t>
  </si>
  <si>
    <t>After a major product safety failure — launch the next product with explicit safety demonstration and apologetic tone; S8 sold strongly confirming brand recovery</t>
  </si>
  <si>
    <t>This decision was NOT taken — it is the decision that should have been. Independent certification of the replacement battery before relaunch would have caught the ATL defect and prevented the second recall.</t>
  </si>
  <si>
    <t>ATL (not verified)</t>
  </si>
  <si>
    <t>Appeared managed</t>
  </si>
  <si>
    <t>Assumed high (wrong)</t>
  </si>
  <si>
    <t>Briefly restored</t>
  </si>
  <si>
    <t>Very High ($5.3B)</t>
  </si>
  <si>
    <t>Immediate (S8)</t>
  </si>
  <si>
    <t>Understood</t>
  </si>
  <si>
    <t>Safety managed</t>
  </si>
  <si>
    <t>Partially restored</t>
  </si>
  <si>
    <t>7 months</t>
  </si>
  <si>
    <t>High (S8)</t>
  </si>
  <si>
    <t>Medium (NOT done)</t>
  </si>
  <si>
    <t>2–4 extra weeks</t>
  </si>
  <si>
    <t>Eliminated (prevented)</t>
  </si>
  <si>
    <t>Chassis-constraint battery qualification protocol</t>
  </si>
  <si>
    <t>Safety validation gate — non-negotiable pre-launch requirement</t>
  </si>
  <si>
    <t>Backup supplier concurrent qualification mandate</t>
  </si>
  <si>
    <t>Independent battery stress-testing laboratory</t>
  </si>
  <si>
    <t>OTA battery health monitoring system</t>
  </si>
  <si>
    <t>Competitive launch date decoupling policy</t>
  </si>
  <si>
    <t>Before committing to any chassis design that constrains battery dimensions, require full independent qualification of ALL potential battery suppliers at the FINAL chassis tolerance — not just nominal dimensions</t>
  </si>
  <si>
    <t>Establish a non-negotiable safety validation gate that cannot be waived under competitive time pressure — product launch date is set AFTER safety validation completion, not the other way round</t>
  </si>
  <si>
    <t>Require that any primary battery supplier have a fully qualified backup supplier — validated under identical product chassis conditions — before any mass-market product launch</t>
  </si>
  <si>
    <t>Samsung establishes an independent battery testing laboratory (not operated by any supplier) conducting accelerated life testing on every new battery design under worst-case chassis constraints before production approval</t>
  </si>
  <si>
    <t>Implement over-the-air battery health monitoring in all future Samsung devices — reporting temperature anomalies, charge cycles and unusual behaviour to Samsung servers — enabling early field detection of battery degradation before it reaches dangerous levels</t>
  </si>
  <si>
    <t>Board-level policy: Samsung will not publicly commit a product launch date until all safety validations are certified complete — competitive pressure to match iPhone cannot override this gate</t>
  </si>
  <si>
    <t>Low (process policy)</t>
  </si>
  <si>
    <t>Medium (dual qualification cost)</t>
  </si>
  <si>
    <t>Low-Med (software)</t>
  </si>
  <si>
    <t>Low (governance)</t>
  </si>
  <si>
    <t>Medium (part of design cycle)</t>
  </si>
  <si>
    <t>Built into product development cycle</t>
  </si>
  <si>
    <t>Long (part of design cycle)</t>
  </si>
  <si>
    <t>Built into product dev</t>
  </si>
  <si>
    <t>The Note 7 root cause was a chassis designed too small — both SDI and ATL failed because of this constraint. Fixing the validation process prevents the design decision from ever creating this scenario.</t>
  </si>
  <si>
    <t>The Note 7 was rushed to beat iPhone 7. Safety validation should be a non-compressible gate: if validation is not complete, launch date moves — competitive calendar cannot override safety calendar.</t>
  </si>
  <si>
    <t>A backup supplier qualified only on generic specs is not a backup — as ATL proved. Concurrent qualification under Note 7 specific chassis constraints would have caught ATL's defect before launch.</t>
  </si>
  <si>
    <t>The 8-point check is excellent for production quality. An independent lab for design validation prevents both SDI and ATL defects from ever reaching mass production.</t>
  </si>
  <si>
    <t>Real-time battery data from early adopters would have detected Note 7 thermal anomalies within days of launch — enabling recall before widespread consumer harm occurred.</t>
  </si>
  <si>
    <t>If the Note 7 chassis constraint validation had been allowed the extra 4–6 weeks it needed, the defect would have been found and fixed before a single phone was sold. Speed-to-market pressure killed 96% of Note 7 devices.</t>
  </si>
  <si>
    <t>Built-in</t>
  </si>
  <si>
    <t>Greatly ↑</t>
  </si>
  <si>
    <t>$850–890 per device</t>
  </si>
  <si>
    <t>Normal supply chain</t>
  </si>
  <si>
    <t>High (manufacturing)</t>
  </si>
  <si>
    <t>Unrecognised (HIGH)</t>
  </si>
  <si>
    <t>Assumed high</t>
  </si>
  <si>
    <t>Very High (record pre-orders)</t>
  </si>
  <si>
    <t>Negative (mass production)</t>
  </si>
  <si>
    <t>$5B+ total cost</t>
  </si>
  <si>
    <t>2-week replacement lag</t>
  </si>
  <si>
    <t>Very High (recall logistics)</t>
  </si>
  <si>
    <t>Partially managed</t>
  </si>
  <si>
    <t>SDI replaced (ATL unvalidated)</t>
  </si>
  <si>
    <t>Very Low (trust crisis)</t>
  </si>
  <si>
    <t>$5.3B total</t>
  </si>
  <si>
    <t>Immediate halt</t>
  </si>
  <si>
    <t>High (3.1M units destroyed)</t>
  </si>
  <si>
    <t>Fully managed (product gone)</t>
  </si>
  <si>
    <t>Trust severely damaged</t>
  </si>
  <si>
    <t>S8 premium — strong sales</t>
  </si>
  <si>
    <t>Struct. Reduced (8-pt check)</t>
  </si>
  <si>
    <t>Recovered</t>
  </si>
  <si>
    <t>BASF Ludwigshafen Pipeline Explosion (October 2016) — industrial accident with effective BCP response (the POSITIVE counterexample)</t>
  </si>
  <si>
    <t>BASF SE (world's largest chemical company, HQ Ludwigshafen, Germany; ~€14–16B annual revenue; 39,000 employees on site). Downstream customers: automotive, construction, agriculture, electronics, consumer products industries globally. Logistics partners: Rhine river barge operators, rail freight, road hauliers.</t>
  </si>
  <si>
    <t>Ludwigshafen complex: 10 km², 39,000 employees, 8,000+ chemical products, ~€14–16B annual revenue. 2 workers killed, 6 injured. Port terminal completely destroyed. Rhine river temporarily closed. Impact SMALLER THAN EXPECTED due to pre-existing BCP — the defining feature of this case.</t>
  </si>
  <si>
    <t>N1 — Ludwigshafen Verbund complex (BASF HQ site)</t>
  </si>
  <si>
    <t>World's largest integrated chemical manufacturing site. The Verbund model: outputs of one plant are inputs of the next, connected by 2,850 km of internal pipelines. This integration is BASF's core competitive advantage — and means a single pipeline failure can cascade through the production network. BASF has globally valid guidelines and security trainings for staff as standard practice.</t>
  </si>
  <si>
    <t>N2 — Northern port terminal (destroyed in explosion)</t>
  </si>
  <si>
    <t>Terminal through which raw materials — primarily petrochemical feedstocks including naphtha and other hydrocarbons — arrive by ship from the Rhine. Completely destroyed in the October 2016 explosion during maintenance work on a pipeline. Alternative delivery routes had to be activated immediately.</t>
  </si>
  <si>
    <t>N3 — Rhine river logistics (primary feedstock route)</t>
  </si>
  <si>
    <t>Rhine river connects Ludwigshafen to North Sea ports (Rotterdam, Amsterdam) and upstream sources. A single Rhine barge carries the equivalent of dozens of truck loads at a fraction of the cost. When the terminal was destroyed, river delivery to that terminal point was impossible regardless of barge availability.</t>
  </si>
  <si>
    <t>N4 — Alternative logistics (truck and rail — BCP)</t>
  </si>
  <si>
    <t>BASF activated pre-planned alternative logistics: road trucks and rail freight to deliver feedstocks previously arriving by river/pipeline. Significantly more expensive per tonne than river/pipeline but capable of maintaining partial supply continuity during terminal rebuild.</t>
  </si>
  <si>
    <t>N5 — Downstream chemical customers (global)</t>
  </si>
  <si>
    <t>BASF supplies automotive manufacturers, construction material companies, agricultural chemical companies, electronics manufacturers, consumer products companies globally. Any Ludwigshafen production disruption propagates to these customers as ingredient or component shortages.</t>
  </si>
  <si>
    <t>Petrochemical feedstocks (naphtha etc.) arrive by Rhine barge to northern port terminal</t>
  </si>
  <si>
    <t>N3 Rhine → N2 Terminal</t>
  </si>
  <si>
    <t>Feedstocks transferred from terminal to Verbund production plants via internal pipeline network</t>
  </si>
  <si>
    <t>N2 → N1 Verbund production</t>
  </si>
  <si>
    <t>Chemical products manufactured through integrated Verbund process chain</t>
  </si>
  <si>
    <t>N1 BASF Verbund</t>
  </si>
  <si>
    <t>Finished chemicals shipped to downstream customers globally by truck, rail, ship, pipeline</t>
  </si>
  <si>
    <t>N1 → N5 Customers</t>
  </si>
  <si>
    <t>EXPLOSION: Pipeline at port terminal detonates during maintenance; terminal destroyed; 2 killed</t>
  </si>
  <si>
    <t>N2 — Disruption node</t>
  </si>
  <si>
    <t>BCP activated immediately: logistics shifted river → truck/rail; proactive customer communication initiated</t>
  </si>
  <si>
    <t>N4 Alternative logistics — BCP response</t>
  </si>
  <si>
    <t>Business interruption insurance held. Two workers killed — human cost is the primary concern. Total financial impact: smaller than expected due to BCP effectiveness. BASF does not publicly disclose specific disruption costs. BCP investment (training, drills, insurance, buffer stocks): ongoing annual cost absorbed in operations.</t>
  </si>
  <si>
    <t>Rhine-to-Verbund normal: hours (continuous flow). Alternative truck/rail: 1–2 days with higher cost. Terminal rebuild: months. Production continuity maintained throughout via BCP — the defining outcome.</t>
  </si>
  <si>
    <t>Temporary increase during BCP period: switching from barge (lowest CO2/tonne) to truck (highest CO2/tonne) for the same feedstock volume increases transport carbon footprint significantly until terminal rebuilt.</t>
  </si>
  <si>
    <t>Very Limited — BCP maintained production continuity. No significant product loss from supply interruption. Physical damage to the terminal facility required demolition and rebuild.</t>
  </si>
  <si>
    <t>Maintained — customers received advance notice of affected products and timelines. Smaller than expected disruption due to pre-planned BCP and active communication. THIS is the critical differentiator from all other cases in this register.</t>
  </si>
  <si>
    <t>HIGH (physical infrastructure) but MANAGED (BCP). The explosion demonstrated the Verbund's internal pipeline dependency — but BASF's pre-existing BCP compressed what could have been a major supply crisis into a manageable incident.</t>
  </si>
  <si>
    <t>Maintained — product quality not affected. Production continuity preserved quality-controlled manufacturing processes throughout the disruption period.</t>
  </si>
  <si>
    <t>Negative short-term (increased CO2 from road logistics, physical destruction, hazardous material release in explosion). BASF's globally valid guidelines and security training represent a positive long-term sustainability investment.</t>
  </si>
  <si>
    <t>Low — chemical feedstock supply disruptions do not directly affect circular economy metrics for this case.</t>
  </si>
  <si>
    <t>17 October 2016: explosion in an above-ground pipeline at the northern port area of BASF's Ludwigshafen complex during maintenance work. Two workers killed, six injured. Large fire required multi-agency response from Ludwigshafen and regional fire departments.</t>
  </si>
  <si>
    <t>Scope of destruction</t>
  </si>
  <si>
    <t>Northern port terminal completely destroyed. Rhine river access to that terminal point closed. BASF's internal feedstock supply via the terminal pipeline interrupted. The Rhine itself temporarily closed to shipping at the explosion location.</t>
  </si>
  <si>
    <t>Verbund cascade risk</t>
  </si>
  <si>
    <t>The Verbund model (2,850 km of internal pipelines; each plant's output feeds the next) means a feedstock supply interruption can cascade through multiple production units simultaneously. Without BCP, this cascade could have disrupted 8,000+ product lines and thousands of customers.</t>
  </si>
  <si>
    <t>BCP activation — the defining response</t>
  </si>
  <si>
    <t>BASF activated pre-existing business continuity plans immediately. Logistics was temporarily shifted from ships and pipelines to trucks and trains. BASF was prepared for an incident and was in close contact with its customers to keep them informed about the current availability of products to minimize the impact on customer deliveries, which resulted in smaller than expected economic consequences from the accident.</t>
  </si>
  <si>
    <t>Why this matters</t>
  </si>
  <si>
    <t>This case is the POSITIVE counterexample in supply chain disruption research. Every other case in this register shows inadequate preparation. BASF shows what adequate preparation looks like — and how dramatically it limits the commercial impact of a physical catastrophe. The 2 workers killed remain the primary human lesson.</t>
  </si>
  <si>
    <t>Immediate BCP activation — shift to alternative logistics</t>
  </si>
  <si>
    <t>Active proactive customer communication programme</t>
  </si>
  <si>
    <t>Maintain pre-existing on-site feedstock buffer stocks</t>
  </si>
  <si>
    <t>Business interruption insurance activation</t>
  </si>
  <si>
    <t>Terminal rebuild and Rhine access restoration</t>
  </si>
  <si>
    <t>Verbund infrastructure resilience review</t>
  </si>
  <si>
    <t>Workers' safety enhancement — hazardous pipeline maintenance protocols</t>
  </si>
  <si>
    <t>Within hours of explosion: activate pre-planned alternative feedstock delivery via truck and rail; contact all affected customers with availability updates and timelines</t>
  </si>
  <si>
    <t>BASF proactively contacts all affected customers within hours: which products are affected, expected supply timelines, alternative product options, delivery rescheduling</t>
  </si>
  <si>
    <t>Pre-existing feedstock buffer storage on the Ludwigshafen site — maintained as standard BCP practice — provided time to establish alternative delivery before production was affected</t>
  </si>
  <si>
    <t>BASF activates BI insurance covering infrastructure damage and production loss from the terminal destruction</t>
  </si>
  <si>
    <t>Commission rebuild of destroyed port terminal; restore Rhine barge access to Ludwigshafen for feedstock delivery at normal economics</t>
  </si>
  <si>
    <t>Post-explosion audit of all above-ground pipelines for maintenance risk; review port terminal single-point-of-failure; consider adding second Rhine access terminal</t>
  </si>
  <si>
    <t>After-action review of all above-ground pipeline maintenance procedures — lockout/tagout, remote operation for hazardous valve work, drone inspection for above-ground infrastructure to reduce worker proximity to explosive pipeline sections</t>
  </si>
  <si>
    <t>High (alternative logistics premium)</t>
  </si>
  <si>
    <t>Low (communication)</t>
  </si>
  <si>
    <t>Low-Med (storage cost)</t>
  </si>
  <si>
    <t>Low (premium pre-paid)</t>
  </si>
  <si>
    <t>Very High (rebuild capex)</t>
  </si>
  <si>
    <t>High (audit + capital)</t>
  </si>
  <si>
    <t>Medium (safety investment)</t>
  </si>
  <si>
    <t>Continuous (pre-built)</t>
  </si>
  <si>
    <t>Immediate (claim process)</t>
  </si>
  <si>
    <t>High (truck vs barge)</t>
  </si>
  <si>
    <t>High (construction)</t>
  </si>
  <si>
    <t>Financial managed</t>
  </si>
  <si>
    <t>Struct. Restored</t>
  </si>
  <si>
    <t>Struct. Reduced (future)</t>
  </si>
  <si>
    <t>Reduced (safety)</t>
  </si>
  <si>
    <t>Negative (higher CO2)</t>
  </si>
  <si>
    <t>When a primary logistics node is destroyed and BCP exists — immediate activation is the only option; the value of BCP is demonstrated entirely by the speed of this decision</t>
  </si>
  <si>
    <t>Always — and especially when disruption is physically unavoidable. Customers who receive advance specific information can plan around disruption; customers who discover empty orders cannot.</t>
  </si>
  <si>
    <t>Continuously as standard BCP — buffer stocks are the resilience measure that buys time for all other responses; without them, production stops before any alternative can be arranged</t>
  </si>
  <si>
    <t>As standard for any large industrial site — BI insurance is a required financial buffer; without it, the full cost of terminal rebuild falls on operating cash flow</t>
  </si>
  <si>
    <t>After BCP has managed immediate crisis — rebuild restores the cost-efficient feedstock supply that is central to Ludwigshafen's Verbund economics</t>
  </si>
  <si>
    <t>Post-incident structural review — a single port terminal is a single point of failure for a €16B/year site; redundant access should be a design principle</t>
  </si>
  <si>
    <t>Immediately after any worker fatality — the 2016 explosion killed 2 workers during maintenance; remote operation and drone inspection eliminate the worker proximity to hazardous pipeline sections</t>
  </si>
  <si>
    <t>High (logistics premium)</t>
  </si>
  <si>
    <t>High (truck)</t>
  </si>
  <si>
    <t>Negative (CO2)</t>
  </si>
  <si>
    <t>Low (pre-paid)</t>
  </si>
  <si>
    <t>Redundant port terminal access (second Rhine terminal)</t>
  </si>
  <si>
    <t>Digital twin of Verbund feedstock flows</t>
  </si>
  <si>
    <t>Above-ground pipeline hazard risk reduction — routing assessment</t>
  </si>
  <si>
    <t>Supply chain BCP training requirement for logistics partners</t>
  </si>
  <si>
    <t>Supplier-community advance warning system</t>
  </si>
  <si>
    <t>Modular Verbund feedstock redundancy design</t>
  </si>
  <si>
    <t>Invest in a second feedstock receiving terminal on the Ludwigshafen Rhine frontage — creating a backup access point so that destruction of one terminal does not interrupt all river feedstock delivery</t>
  </si>
  <si>
    <t>Build a real-time digital twin of all internal BASF Verbund feedstock pipelines and production dependencies — enabling instant identification of which products are affected and by how much when any pipeline or terminal is disrupted</t>
  </si>
  <si>
    <t>Commission engineering assessment of all above-ground pipeline sections; prioritise routing critical feedstock lines underground or in blast-protected ducts to reduce explosion and mechanical damage risk</t>
  </si>
  <si>
    <t>Extend BASF's BCP framework to require all logistics partners (Rhine barge operators, rail freight companies, road hauliers) to maintain certified emergency capacity with defined response times</t>
  </si>
  <si>
    <t>Establish a real-time advance warning system linking BASF's crisis management to all key downstream customers simultaneously — so the first customer notification happens within 1 hour of any Ludwigshafen production disruption</t>
  </si>
  <si>
    <t>For all future Verbund expansion projects, require that critical feedstock pipelines have at least two independent routing options — so any single pipeline failure does not eliminate an entire feedstock supply pathway</t>
  </si>
  <si>
    <t>High (technology)</t>
  </si>
  <si>
    <t>High (engineering)</t>
  </si>
  <si>
    <t>Low-Med (programme)</t>
  </si>
  <si>
    <t>Low-Med (technology)</t>
  </si>
  <si>
    <t>Fast (system build)</t>
  </si>
  <si>
    <t>Very Long (design principle)</t>
  </si>
  <si>
    <t>Structurally Eliminated (terminal SPOF)</t>
  </si>
  <si>
    <t>Struct. Reduced (visibility)</t>
  </si>
  <si>
    <t>Reduced (logistics BCP)</t>
  </si>
  <si>
    <t>A single port terminal is the single point of failure for €16B/year of production. A second terminal eliminates the feedstock supply vulnerability demonstrated in 2016.</t>
  </si>
  <si>
    <t>The 2016 impact was managed through experience and existing BCP. A digital twin compresses downstream impact assessment from hours to minutes — enabling faster customer communication and logistics re-routing.</t>
  </si>
  <si>
    <t>Above-ground pipelines are vulnerable to mechanical damage during maintenance and blast damage from adjacent incidents — underground routing eliminates multiple risk pathways simultaneously</t>
  </si>
  <si>
    <t>BASF's own BCP is strong; the logistics BCP depends on partner capability — extending certification requirements to third-party logistics partners closes the dependency gap</t>
  </si>
  <si>
    <t>BASF's communication in 2016 was commendably fast but manual. An automated system connecting BASF's BCP activation to customer notification removes the human communication delay and sets a new industry standard for transparency.</t>
  </si>
  <si>
    <t>The Verbund model's efficiency comes from integration; its vulnerability comes from single-path dependencies. Building redundant routing into future design converts the efficiency model into a resilient efficiency model.</t>
  </si>
  <si>
    <t>Struct. Elim. (SPOF)</t>
  </si>
  <si>
    <t>€14–16B/yr revenue</t>
  </si>
  <si>
    <t>Hours (continuous Verbund)</t>
  </si>
  <si>
    <t>Moderate (barge)</t>
  </si>
  <si>
    <t>High but managed</t>
  </si>
  <si>
    <t>High (Verbund customers)</t>
  </si>
  <si>
    <t>BASF standards</t>
  </si>
  <si>
    <t>Higher (alt. logistics)</t>
  </si>
  <si>
    <t>Days (truck/rail substitution)</t>
  </si>
  <si>
    <t>Higher (road)</t>
  </si>
  <si>
    <t>Managed (BCP)</t>
  </si>
  <si>
    <t>Protected (proactive comm.)</t>
  </si>
  <si>
    <t>Negative (short-term)</t>
  </si>
  <si>
    <t>Normal (restored)</t>
  </si>
  <si>
    <t>Hours (restored)</t>
  </si>
  <si>
    <t>Restored (barge)</t>
  </si>
  <si>
    <t>Struct. Same</t>
  </si>
  <si>
    <t>Hours</t>
  </si>
  <si>
    <t>Restored + redundant</t>
  </si>
  <si>
    <t>iPhone X Component Shortage — OLED and Face ID (2017): dual new-technology supply ramp failure at competitive launch timing</t>
  </si>
  <si>
    <t>Apple Inc. (OEM). OLED sole supplier: Samsung Display (Apple's primary smartphone competitor). Face ID sensor suppliers: LG Innotek (dot projector), STMicroelectronics, Lumentum. Assembly: Foxconn / Hon Hai. Competitor: Samsung Galaxy S8/Note 8 (unrestricted supply in same period).</t>
  </si>
  <si>
    <t>Initial production: ~10,000 units/day vs normal iPhone launch of 50,000+/day. Estimated 20–35M units delivered end 2017 vs ~40–50M potential demand. 5–6 week customer lead time vs normal 2–3 days. iOS market share loss during holiday quarter 2017. Estimated 6–8M units of missed holiday quarter potential sales.</t>
  </si>
  <si>
    <t>N1 — Samsung Display (sole OLED supplier — Apple's competitor)</t>
  </si>
  <si>
    <t>Samsung Display is the only manufacturer able to produce the specific OLED panels Apple required for iPhone X at required quality and volume. Samsung had used OLED since 2010. Apple had no alternative OLED supplier qualified for iPhone X specifications. Samsung Display simultaneously served its parent company (Galaxy S8/Note 8) AND Apple — creating a supply allocation conflict between Apple and its primary competitor.</t>
  </si>
  <si>
    <t>N2 — TrueDepth / Face ID sensor supply chain</t>
  </si>
  <si>
    <t>The Face ID system requires a structured-light dot projector projecting 30,000 infrared dots onto the user's face to create a depth map. This sensor array had never been manufactured at smartphone scale before. Production yield issues with the structured-light projector (Lumentum/STMicro) were the PRIMARY constraint after OLED issues were resolved. Yield improvements only occurred towards end of September 2017.</t>
  </si>
  <si>
    <t>N3 — Apple / Foxconn assembly (iPhone X production)</t>
  </si>
  <si>
    <t>iPhone X assembly at Foxconn facilities. Production constrained to ~10,000 units/day due to component supply limits. iPhone X required new assembly processes for the notch, Face ID module and OLED connection — adding assembly learning curve on top of component constraints simultaneously.</t>
  </si>
  <si>
    <t>N4 — Apple retail and carrier distribution</t>
  </si>
  <si>
    <t>Pre-orders opened October 27, 2017; device launched November 3, 2017 — 7 weeks after iPhone 8. Sold out immediately. 5–6 week lead times at Apple Store. Limited carrier stock. Consumers wanting iPhone X before Christmas faced extended waits throughout the holiday quarter.</t>
  </si>
  <si>
    <t>N5 — Competitive context (Samsung Galaxy — full supply)</t>
  </si>
  <si>
    <t>Samsung Galaxy S8 (April 2017) and Note 8 (September 2017) both used Samsung's own OLED displays with no supply constraint. Samsung could see Apple's production limitations in real time because Samsung Display was Apple's sole OLED supplier. This is the unique strategic vulnerability of Apple's OLED sole-source dependency on its primary competitor.</t>
  </si>
  <si>
    <t>Samsung Display produces OLED panels for Galaxy S8/Note 8 AND iPhone X from same production lines</t>
  </si>
  <si>
    <t>N1 Samsung Display — dual customer conflict</t>
  </si>
  <si>
    <t>TrueDepth sensor components (dot projector, IR camera, flood illuminator) produced by multiple suppliers</t>
  </si>
  <si>
    <t>N2 Face ID supply chain</t>
  </si>
  <si>
    <t>OLED panels and Face ID modules shipped to Foxconn assembly facilities as they become available</t>
  </si>
  <si>
    <t>N1+N2 → N3 Foxconn (constrained flow)</t>
  </si>
  <si>
    <t>iPhone X assembled at ~10,000 units/day; packaged and shipped to Apple distribution</t>
  </si>
  <si>
    <t>N3 → N4 Apple distribution (constrained)</t>
  </si>
  <si>
    <t>Limited iPhones X released; sold out immediately; 5–6 week lead times; holiday quarter impacted</t>
  </si>
  <si>
    <t>N4 → Consumer — constrained demand</t>
  </si>
  <si>
    <t>Samsung Galaxy S8/Note 8 freely available with full supply — gains share during Apple constraint period</t>
  </si>
  <si>
    <t>N5 → Consumer — competitive advantage</t>
  </si>
  <si>
    <t>Estimated missed sales: 6–8M units × ~$999 ASP = $6–8B in deferred/lost revenue. Full-year sales forecasts swung ~1.5%. Marketing cost of managing constrained launch vs full availability launch. No safety cost — this is a pure supply constraint, not a quality or safety failure.</t>
  </si>
  <si>
    <t>iPhone X customer lead time at launch: 5–6 weeks. Normal iPhone launch: 2–3 day delivery. A 10× lead time increase during peak holiday shopping season was the primary consumer-facing impact. OLED issues resolved July 2017; Face ID sensor yield issues persisted through late September 2017.</t>
  </si>
  <si>
    <t>Air freight of constrained components from Asia suppliers: higher per-unit CO2 vs sea freight. Limited volume manufactured = limited total CO2 vs a full-scale launch. No specific environmental concern for this case.</t>
  </si>
  <si>
    <t>Limited — shortage means less production, not overproduction. No significant waste from the supply constraint itself. This distinguishes it from overproduction cases like Cisco (BUL-001).</t>
  </si>
  <si>
    <t>Mixed — customers who got iPhone X reported very high product satisfaction. Customers unable to obtain one before Christmas experienced frustration with 5–6 week waits. iOS market share dipped during holiday quarter as some consumers chose immediately available Android alternatives.</t>
  </si>
  <si>
    <t>HIGH (strategic): Apple dependent on its primary competitor (Samsung Display) for its most important product's most visually distinctive component. Samsung could observe Apple's production numbers in real time through their shared supplier relationship.</t>
  </si>
  <si>
    <t>iPhone X product quality was high — Face ID, OLED display and performance all well-received. The shortage was a supply issue, not a quality or safety issue. This distinguishes it from Samsung Note 7 and Firestone/Ford cases.</t>
  </si>
  <si>
    <t>Limited specific concern — standard electronics manufacturing. OLED is more energy-efficient in use than LCD but more complex to manufacture.</t>
  </si>
  <si>
    <t>Apple's trade-in programme allows some device recycling. Limited specific CE dimension from the supply constraint itself.</t>
  </si>
  <si>
    <t>Design decision trigger</t>
  </si>
  <si>
    <t>Apple chose OLED display for iPhone X — the correct technology decision for product quality. However, Apple had never used OLED in iPhone before and Samsung Display was the only manufacturer capable of supplying the required specification at volume.</t>
  </si>
  <si>
    <t>Face ID trigger</t>
  </si>
  <si>
    <t>Apple simultaneously chose to replace Touch ID fingerprint sensor with Face ID — a new 3D facial recognition system requiring structured-light sensors never before manufactured at smartphone scale. Difficulty in production of the Face ID sensor suite held up production so much that Apple could deliver only about 20 million units before end of 2017.</t>
  </si>
  <si>
    <t>Samsung Display competitor dependency</t>
  </si>
  <si>
    <t>The sole manufacturer of Apple's defining new component was Apple's primary smartphone competitor. Samsung Display needed to serve both its parent company (Galaxy S8, Note 8) and Apple simultaneously. Samsung could see Apple's production constraints because Samsung Display was Apple's sole OLED supplier — an unprecedented strategic vulnerability.</t>
  </si>
  <si>
    <t>Production constraint numbers</t>
  </si>
  <si>
    <t>Initial production: ~10,000 iPhone X units/day vs normal iPhone capacity of 50,000+. OLED issues resolved by July 2017; Face ID sensor yield issues persisted through late September 2017. Total units delivered by end 2017: 20–35 million vs estimated demand of 40–50 million.</t>
  </si>
  <si>
    <t>Competitive impact</t>
  </si>
  <si>
    <t>The delay initially hurt sales during the holiday quarter, resulting in iOS losing market share to Android during the quarter. Samsung Galaxy S8 and Note 8 — using Samsung's own OLED with no supply constraint — gained holiday quarter share. Apple was inadvertently giving its biggest competitor a competitive advantage through its own supplier dependency.</t>
  </si>
  <si>
    <t>Commit to Samsung Display OLED as sole supplier for iPhone X</t>
  </si>
  <si>
    <t>Launch Face ID simultaneously with first OLED iPhone</t>
  </si>
  <si>
    <t>Target November 2017 launch regardless of supply readiness</t>
  </si>
  <si>
    <t>Qualify LG Display as second OLED supplier (post-iPhone X)</t>
  </si>
  <si>
    <t>Invest in own display technology development (MicroLED)</t>
  </si>
  <si>
    <t>Air freight constrained Face ID sensor components</t>
  </si>
  <si>
    <t>Simplify iPhone 8 launch to preserve Apple ecosystem momentum</t>
  </si>
  <si>
    <t>Apple sources all iPhone X OLED panels from Samsung Display — the only manufacturer capable of the required specification at volume — accepting sole-supplier dependency on a competitor</t>
  </si>
  <si>
    <t>Apple introduces BOTH a new display technology AND a new biometric system requiring unproven supply chains in the same flagship product — compounding supply risks</t>
  </si>
  <si>
    <t>Apple commits to iPhone X 10th anniversary launch in 2017 despite known supply constraints — prioritising marketing milestone over supply availability</t>
  </si>
  <si>
    <t>Apple qualifies LG Display as a second OLED supplier for subsequent iPhone models — reducing sole-supplier dependency on Samsung Display</t>
  </si>
  <si>
    <t>Apple purchases CVD equipment and invests in proprietary display technology to eliminate long-term dependency on Samsung Display entirely</t>
  </si>
  <si>
    <t>Apple uses air freight to expedite Face ID sensor delivery from suppliers to Foxconn, accepting very high per-unit cost to maximise production velocity from available component supply</t>
  </si>
  <si>
    <t>Apple launches iPhone 8 and 8 Plus (using LCD) simultaneously with iPhone X announcement — maintaining volume sales for customers who cannot get iPhone X during the constrained period</t>
  </si>
  <si>
    <t>Market rate (Samsung premium)</t>
  </si>
  <si>
    <t>R&amp;D and production premium</t>
  </si>
  <si>
    <t>Marketing value (anniversary)</t>
  </si>
  <si>
    <t>High (dual qualification)</t>
  </si>
  <si>
    <t>Very High (R&amp;D + capex)</t>
  </si>
  <si>
    <t>Very High (air freight premium)</t>
  </si>
  <si>
    <t>Low-Med (parallel launch)</t>
  </si>
  <si>
    <t>Long (ramp time required)</t>
  </si>
  <si>
    <t>Long (ramp both simultaneously)</t>
  </si>
  <si>
    <t>Fixed (November 2017)</t>
  </si>
  <si>
    <t>Long (2018+ implementation)</t>
  </si>
  <si>
    <t>Very Long (5–10 years)</t>
  </si>
  <si>
    <t>Fast (days vs weeks)</t>
  </si>
  <si>
    <t>September 2017 (simultaneous)</t>
  </si>
  <si>
    <t>Lower than LCD in use</t>
  </si>
  <si>
    <t>Very High (aviation)</t>
  </si>
  <si>
    <t>Sole supplier (strategic risk)</t>
  </si>
  <si>
    <t>Compounded (two new supply chains)</t>
  </si>
  <si>
    <t>Supply constraint accepted</t>
  </si>
  <si>
    <t>Structurally Eliminated (LT)</t>
  </si>
  <si>
    <t>Reduced (at cost)</t>
  </si>
  <si>
    <t>Managed (ecosystem)</t>
  </si>
  <si>
    <t>High (product quality)</t>
  </si>
  <si>
    <t>High (product)</t>
  </si>
  <si>
    <t>High (8 is safe)</t>
  </si>
  <si>
    <t>Constrained (supply limited)</t>
  </si>
  <si>
    <t>Severely Constrained</t>
  </si>
  <si>
    <t>Constrained</t>
  </si>
  <si>
    <t>Improved (vs waiting)</t>
  </si>
  <si>
    <t>Maintained (ecosystem)</t>
  </si>
  <si>
    <t>When no alternative supplier exists at required specification — Apple had no other option for 2017; the strategic error was not having developed an alternative OLED supplier 2–3 years earlier</t>
  </si>
  <si>
    <t>WRONG strategic decision in hindsight — introducing two unproven supply-chain-intensive technologies simultaneously doubled the supply risk; if either fails, both constrain total production</t>
  </si>
  <si>
    <t>Competitive milestone dates should be supply-validated before public commitment — the 10th anniversary launch created consumer disappointment that a March 2018 launch with full supply would have avoided</t>
  </si>
  <si>
    <t>Correct structural response — done after iPhone X demonstrated the risk; should have been done 2–3 years before iPhone X launch commitment</t>
  </si>
  <si>
    <t>Long-term vertical integration in display technology — the Tesla/BYD model applied to iPhone display; eliminates the competitor-as-sole-supplier vulnerability permanently but requires decade of investment</t>
  </si>
  <si>
    <t>When component yield is the limiting factor and demand far exceeds supply — air freight compresses the assembly-to-delivery timeline at a cost that is justified by the $999 ASP of each device produced</t>
  </si>
  <si>
    <t>When flagship is supply-constrained, a simultaneously available mid-tier model maintains revenue and customer retention during the constraint period</t>
  </si>
  <si>
    <t>Market rate</t>
  </si>
  <si>
    <t>Long ramp</t>
  </si>
  <si>
    <t>Lower than LCD</t>
  </si>
  <si>
    <t>Sole supplier risk</t>
  </si>
  <si>
    <t>R&amp;D premium</t>
  </si>
  <si>
    <t>Long (both)</t>
  </si>
  <si>
    <t>Compounded</t>
  </si>
  <si>
    <t>Marketing value</t>
  </si>
  <si>
    <t>Fixed (Nov 2017)</t>
  </si>
  <si>
    <t>Constraint accepted</t>
  </si>
  <si>
    <t>High (dual)</t>
  </si>
  <si>
    <t>Long (2018+)</t>
  </si>
  <si>
    <t>Very High (air)</t>
  </si>
  <si>
    <t>September 2017</t>
  </si>
  <si>
    <t>High (8 safe)</t>
  </si>
  <si>
    <t>Staggered new-technology introduction (one per product cycle)</t>
  </si>
  <si>
    <t>24-month alternative supplier qualification for new technology components</t>
  </si>
  <si>
    <t>Competitor-as-supplier risk assessment — board-level approval requirement</t>
  </si>
  <si>
    <t>Supply-readiness gate for public launch date commitment</t>
  </si>
  <si>
    <t>Sensor yield improvement programme (pre-launch funding)</t>
  </si>
  <si>
    <t>Demand management — waitlist transparency for constrained launches</t>
  </si>
  <si>
    <t>Establish a product design rule: no single flagship iPhone launch introduces more than ONE unproven supply-chain-intensive technology simultaneously. OLED in one cycle; Face ID in the next.</t>
  </si>
  <si>
    <t>When a new technology component is selected for an iPhone generation, immediately begin qualifying an alternative supplier 24 months before planned launch — so qualification is complete before product design lock</t>
  </si>
  <si>
    <t>Require explicit board-level approval for any sourcing decision making Apple dependent on a primary competitor for a critical sole-sourced component, with mandatory 3-year diversification plan</t>
  </si>
  <si>
    <t>No iPhone launch date is publicly committed until supply chain modelling confirms minimum launch inventory for Day 1 demand × 60 days can be built on schedule</t>
  </si>
  <si>
    <t>For any new sensor technology entering iPhone (biometric, camera, AR/LiDAR), fund a 12-month dedicated yield improvement programme with suppliers before committing the sensor to a product generation — targeting 90%+ yield before design lock</t>
  </si>
  <si>
    <t>When a launch is supply-constrained, Apple immediately publishes a transparent waitlist with accurate delivery estimates rather than showing "5–6 weeks" without context — enabling consumers to make informed choices between waiting, buying iPhone 8, or switching</t>
  </si>
  <si>
    <t>Low (design discipline)</t>
  </si>
  <si>
    <t>Low (process change)</t>
  </si>
  <si>
    <t>Medium (R&amp;D funding)</t>
  </si>
  <si>
    <t>Built into product roadmap</t>
  </si>
  <si>
    <t>Long (24-month lead time)</t>
  </si>
  <si>
    <t>Built into product development</t>
  </si>
  <si>
    <t>12 months pre-launch</t>
  </si>
  <si>
    <t>Introducing two unproven supply chains simultaneously doubles supply risk. Sequential introduction allows each technology's supply chain to be fully validated before the next is added.</t>
  </si>
  <si>
    <t>LG Display qualification after iPhone X was done too late. Starting 24 months before product launch commitment means alternative qualification is complete when the product launches.</t>
  </si>
  <si>
    <t>Apple's Samsung Display dependency is strategically unique — the world's largest smartphone competitor as sole supplier of the most distinctive component. This risk needs explicit governance.</t>
  </si>
  <si>
    <t>Committing to November 2017 when supply could only support 10,000 units/day guaranteed a 5–6 week customer wait. The launch date should follow supply readiness, not precede it.</t>
  </si>
  <si>
    <t>Face ID sensor yield constraint was predictable — a technology never made at scale. A pre-launch yield programme funded by Apple would have resolved the constraint before the product was designed around it.</t>
  </si>
  <si>
    <t>Consumer frustration with constrained launches is amplified by uncertain delivery estimates — transparent waitlist management converts frustration into anticipation and reduces competitive switching to Android alternatives</t>
  </si>
  <si>
    <t>Long (24-month)</t>
  </si>
  <si>
    <t>High (R&amp;D+capex)</t>
  </si>
  <si>
    <t>24+ months OLED ramp</t>
  </si>
  <si>
    <t>High (OLED mfg)</t>
  </si>
  <si>
    <t>HIGH unrecognised (sole supplier+2 new SC)</t>
  </si>
  <si>
    <t>Not yet assessed</t>
  </si>
  <si>
    <t>Anticipation very high</t>
  </si>
  <si>
    <t>Standard electronics</t>
  </si>
  <si>
    <t>Standard</t>
  </si>
  <si>
    <t>Normal iPhone ASP ($999)</t>
  </si>
  <si>
    <t>5–6 weeks customer wait</t>
  </si>
  <si>
    <t>Lower (fewer units)</t>
  </si>
  <si>
    <t>Realised (supply limited)</t>
  </si>
  <si>
    <t>Mixed — want but can't get</t>
  </si>
  <si>
    <t>2–3 days</t>
  </si>
  <si>
    <t>Reduced (LG qual. started)</t>
  </si>
  <si>
    <t>High — pent-up demand satisfied</t>
  </si>
  <si>
    <t>Struct. Reduced (dual supply)</t>
  </si>
  <si>
    <t>UK Medicine Stockpiling — Brexit Preparation (2019): regulatory membership as supply chain infrastructure — acute crisis prevented, structural long-term damage accumulating</t>
  </si>
  <si>
    <t>Key actors: UK DHSC (Department of Health and Social Care), NHS England, pharmaceutical companies (GSK, AstraZeneca, Sanofi, Novartis, MSD/Merck). Primary import route: Dover–Calais crossing. UK regulator: MHRA (independent of EMA post-Brexit). GSK: estimated £70M Brexit costs over 2–3 years + £50M/year ongoing.</t>
  </si>
  <si>
    <t>37 million medicine packs per month imported from EU to UK. 6-week additional stockpile mandated by DHSC. NHS England: £220M extra medicine procurement costs in one year (Sept 2022–Sept 2023). MHRA shortage notifications: ~20/month (pre-Brexit) → 199/month (late 2022) — 10× increase. Community pharmacies: £37M/year additional staff time managing shortages. EMA reported 60% increase in EU shortage notifications 2019–2023.</t>
  </si>
  <si>
    <t>N1 — EU pharmaceutical manufacturers (primary source)</t>
  </si>
  <si>
    <t>Majority of NHS medicines manufactured in EU countries — Germany, France, Belgium, Netherlands, Ireland, Denmark. Key supply route: Dover–Calais (1–2 hour crossing under EU single market). Under EU single-market rules: no customs, no approvals, rapid transit. Under Brexit: customs declarations, potential Dover delays, regulatory divergence.</t>
  </si>
  <si>
    <t>N2 — Active Pharmaceutical Ingredient (API) manufacturers (China/India)</t>
  </si>
  <si>
    <t>60–80% of active pharmaceutical ingredients manufactured in China and India — a structural global concentration independent of Brexit. Brexit adds complexity (EU re-export to UK) to an already-fragile API supply chain. Double exposure: China/India API risk + EU-UK border friction.</t>
  </si>
  <si>
    <t>N3 — UK pharmaceutical import and wholesale distribution</t>
  </si>
  <si>
    <t>Licensed wholesale distributors hold UK medicines inventory and distribute to hospital pharmacies, retail pharmacies and dispensing GPs. Cold-chain required for biologics and vaccines. Pre-Brexit: 2–4 week stock levels standard in frictionless supply environment.</t>
  </si>
  <si>
    <t>N4 — NHS pharmacies, hospitals and GP practices</t>
  </si>
  <si>
    <t>~11,000 community pharmacies, 900+ NHS hospitals, thousands of GP practices dispensing prescriptions. Under Brexit stockpiling mandate: each supply chain level required to hold additional 6 weeks above normal buffer. Cold-chain capacity for temperature-sensitive biologics was a specific constraint.</t>
  </si>
  <si>
    <t>N5 — DHSC / MHRA (UK government / regulator)</t>
  </si>
  <si>
    <t>DHSC issued formal instruction to pharmaceutical companies to build 6-week buffer stocks. MHRA became independent of EMA post-Brexit — requiring separate UK marketing authorisations for all medicines, adding regulatory cost and complexity for companies serving both EU and UK markets.</t>
  </si>
  <si>
    <t>API manufactured primarily in China/India; shipped to EU pharmaceutical manufacturing plants</t>
  </si>
  <si>
    <t>N2 API → N1 EU manufacturing</t>
  </si>
  <si>
    <t>Finished medicines manufactured at EU plants; shipped via Dover–Calais or North Sea crossings to UK</t>
  </si>
  <si>
    <t>N1 → UK imports</t>
  </si>
  <si>
    <t>UK wholesale distributors receive EU medicines; hold in licensed warehouses under cold-chain where required</t>
  </si>
  <si>
    <t>N1 → N3 UK wholesale</t>
  </si>
  <si>
    <t>Distributors supply hospital pharmacies, community pharmacies and dispensing GPs on JIT basis</t>
  </si>
  <si>
    <t>N3 → N4 NHS dispensing</t>
  </si>
  <si>
    <t>Patients receive medicines via NHS prescription; NHS reimburses at Drug Tariff price</t>
  </si>
  <si>
    <t>N4 → Patients</t>
  </si>
  <si>
    <t>Brexit BCP activated: DHSC mandates 6-week buffer; companies build additional stock; express freight service secured</t>
  </si>
  <si>
    <t>N5 → N3 BCP stockpile directive</t>
  </si>
  <si>
    <t>GSK: £70M Brexit-related costs over 2–3 years + £50M/year ongoing (re-testing medicines, transferring marketing authorisations, duplicate regulatory work). NHS England: +£220M/year extra medicine procurement costs (Sept 2022–Sept 2023). Community pharmacies: £37M/year additional staff time managing shortages. Sanofi: built 14-week total buffer stock.</t>
  </si>
  <si>
    <t>Pre-Brexit: EU medicine delivery via Dover–Calais = 1–2 days. Post-Brexit: additional customs clearance = hours to days of extra delay. Express freight service procured by DHSC: 24–72 hour emergency re-supply. UK MHRA approval timeline: slower than EMA for new medicine launches.</t>
  </si>
  <si>
    <t>Air freight express service (24–72 hours): significantly higher CO2 than normal sea/road freight. Stockpiling additional 6 weeks of medicines nationally: significant warehousing energy consumption. Some companies rerouted supply via longer non-Calais routes.</t>
  </si>
  <si>
    <t>COVID-19 consumed the post-Brexit medicine stockpiles built in 2019, creating a second emergency. Some medicines stockpiled for no-deal Brexit had expiry dates expire before use — direct waste from the stockpiling exercise.</t>
  </si>
  <si>
    <t>NHS patients increasingly experiencing medicine shortages since Brexit. Shortage notifications: 20/month (pre-Brexit) → 199/month (late 2022). UK has become less attractive to pharmaceutical companies: sterling depreciation reduces UK medicine prices; dual-regulatory burden adds cost.</t>
  </si>
  <si>
    <t>Chronic and structural: Brexit has permanently reduced UK attractiveness as a pharmaceutical supply market. Issues like the fall in the value of sterling and the UK being outside EU supply chains have created a situation in which the government has had to ramp up the reimbursement it pays to pharmacies for buying drugs above their list prices.</t>
  </si>
  <si>
    <t>Medicine quality maintained — Brexit does not affect product quality standards. MHRA maintains equivalent standards to EMA for authorised products. Access is the issue, not quality.</t>
  </si>
  <si>
    <t>Increased air freight, doubled regulatory compliance burden, additional warehousing — all add to pharmaceutical supply chain carbon footprint post-Brexit. Some medicines stockpiled then wasted before use.</t>
  </si>
  <si>
    <t>Low relevance — pharmaceutical supply chains do not involve significant circular economy considerations for this case.</t>
  </si>
  <si>
    <t>Regulatory trigger</t>
  </si>
  <si>
    <t>UK June 2016 Brexit referendum → political commitment to leave EU Single Market → pharmaceutical industry begins assessing impact of losing frictionless supply chain. DHSC formal letter to pharmaceutical companies (2018): mandatory 6-week additional stockpile requirement over normal buffers, to be in place by March 2019.</t>
  </si>
  <si>
    <t>Structural vulnerability</t>
  </si>
  <si>
    <t>The UK imports approximately 37 million medicine packs per month from the EU. Under EU single-market rules: no customs, no approvals, rapid Dover–Calais transit (2 hours). Brexit converts this to a customs border with declaration requirements and potential delays at Dover — the world's busiest short sea crossing — for medicines that require continuous temperature control.</t>
  </si>
  <si>
    <t>BCP stockpile response (successful short-term)</t>
  </si>
  <si>
    <t>Industry-wide 6-week additional stockpile mandate. Sanofi: 14-week total buffer. Novartis, AstraZeneca, MSD also announced stockpiling plans. The pharmaceutical industry itself paid for six weeks' worth of stockpiles. UK government procured express freight service (24–72 hour emergency air freight). NHS leaders confirmed acute crisis was avoided at actual Brexit transition (January 2021).</t>
  </si>
  <si>
    <t>COVID depletion of stockpiles</t>
  </si>
  <si>
    <t>Post-Brexit stockpiles built in 2019 were consumed by COVID-19 demands for critical care and respiratory medicines. Pharmaceutical industry warned stockpiles could not be rebuilt before end of transition period (December 31, 2020). The two crises (Brexit transition + COVID) overlapped in timing, depleting the buffer built for one before it could serve the other.</t>
  </si>
  <si>
    <t>Long-term structural damage (2021–2026)</t>
  </si>
  <si>
    <t>NHS England paid £220M extra in medicine procurement costs in one year (2022–23). Shortage notifications rose from 20/month to 199/month by late 2022 and remained elevated. UK drug pricing system makes some medicines less profitable to supply than EU market — companies prioritise EU allocation. New medicines increasingly launch in EU before UK as companies prioritise EMA regulatory pathway.</t>
  </si>
  <si>
    <t>Lesson (unique dimension)</t>
  </si>
  <si>
    <t>The acute crisis was prevented — an impressive collective achievement by pharmaceutical companies and DHSC working together. The long-term damage is structural and accumulating: the UK has permanently moved from inside the EU pharmaceutical supply chain to a smaller, less attractive, separate market that is harder and more expensive to serve.</t>
  </si>
  <si>
    <t>DHSC mandatory 6-week buffer stockpile (2018–2019)</t>
  </si>
  <si>
    <t>Secure express freight service (24–72 hour air)</t>
  </si>
  <si>
    <t>MHRA regulatory independence (post-Brexit)</t>
  </si>
  <si>
    <t>DHSC price concession payments to pharmacies</t>
  </si>
  <si>
    <t>Engage EU on UK participation in shortage monitoring (attempted, failed)</t>
  </si>
  <si>
    <t>NHS medicine shortage tracking system (manual → digital)</t>
  </si>
  <si>
    <t>Critical Imports Council established (2024)</t>
  </si>
  <si>
    <t>Pharmaceutical company-specific Brexit contingency teams</t>
  </si>
  <si>
    <t>DHSC formally instructs all pharmaceutical companies supplying NHS to hold minimum 6 weeks additional stock above normal buffers in UK warehouses by March 2019</t>
  </si>
  <si>
    <t>DHSC procures emergency air freight capacity to bring medicines from EU to UK within 24–72 hours if normal supply routes are disrupted at Dover</t>
  </si>
  <si>
    <t>UK creates independent MHRA regulatory pathway separate from EMA — requiring companies to obtain separate UK marketing authorisations for all medicines</t>
  </si>
  <si>
    <t>DHSC pays pharmacies higher-than-listed-price reimbursement (concession prices) when medicines have to be sourced above their normal Drug Tariff price due to shortage-related procurement costs</t>
  </si>
  <si>
    <t>UK sought to maintain participation in EU medicine shortage monitoring and early warning systems post-Brexit — rejected by EU as incompatible with non-member status</t>
  </si>
  <si>
    <t>NHS England implements improved digital medicine shortage tracking replacing manual pharmacy reporting — enabling earlier identification of national shortage patterns</t>
  </si>
  <si>
    <t>UK government creates Critical Imports Council including 23 experts across key industries to safeguard flows of vital goods including medicines</t>
  </si>
  <si>
    <t>Major pharma companies (GSK, AstraZeneca, Sanofi, Novartis) establish dedicated Brexit contingency teams reviewing every product supply chain for UK regulatory status, batch release site, and alternative supply routes</t>
  </si>
  <si>
    <t>Very High (industry cost — no government compensation)</t>
  </si>
  <si>
    <t>High (air freight premium)</t>
  </si>
  <si>
    <t>High (company compliance cost)</t>
  </si>
  <si>
    <t>Very High (NHS budget — £220M+/year)</t>
  </si>
  <si>
    <t>Low (diplomatic)</t>
  </si>
  <si>
    <t>Medium (NHS technology)</t>
  </si>
  <si>
    <t>Low (advisory body)</t>
  </si>
  <si>
    <t>Medium (internal resource)</t>
  </si>
  <si>
    <t>6-month ramp</t>
  </si>
  <si>
    <t>Immediate (on standby)</t>
  </si>
  <si>
    <t>Long (ongoing)</t>
  </si>
  <si>
    <t>Negotiation period</t>
  </si>
  <si>
    <t>Short-term managed</t>
  </si>
  <si>
    <t>Emergency managed</t>
  </si>
  <si>
    <t>Managed (regulatory)</t>
  </si>
  <si>
    <t>Managed (financial)</t>
  </si>
  <si>
    <t>Would have Reduced (if successful)</t>
  </si>
  <si>
    <t>Reduced (company-level)</t>
  </si>
  <si>
    <t>Protected (short-term)</t>
  </si>
  <si>
    <t>Protected (emergency)</t>
  </si>
  <si>
    <t>Would have Protected</t>
  </si>
  <si>
    <t>Improved (planning)</t>
  </si>
  <si>
    <t>Negative (waste risk, extra emissions)</t>
  </si>
  <si>
    <t>Correct emergency response — mandatory stockpile was the only tool available to buffer the transition period; industry paid with no compensation from government</t>
  </si>
  <si>
    <t>Correct contingency — provides last-resort supply route if Dover congestion creates medicine shortages; high CO2 cost justified by patient safety imperative</t>
  </si>
  <si>
    <t>Unavoidable consequence of EU exit — UK cannot remain in EMA without EU membership; the dual-regulatory burden increases cost-to-market and reduces UK market attractiveness for pharmaceutical companies</t>
  </si>
  <si>
    <t>Essential to maintain pharmacy viability when shortages force above-market purchasing — but represents a permanent structural cost increase from Brexit, not a one-time emergency</t>
  </si>
  <si>
    <t>Correct attempt — medicine shortages benefit from collective intelligence across large markets; UK exclusion from EU shortage monitoring has contributed to worse UK shortage outcomes post-2021</t>
  </si>
  <si>
    <t>When shortage notifications reach 199/month, a manual system becomes inadequate; digital shortage monitoring enables earlier government intervention before patient impact</t>
  </si>
  <si>
    <t>Post-crisis structural governance response — correct but late; the shortage patterns were established by 2022–2023 before this body was created; demonstrates that governance structures must precede crises, not follow them</t>
  </si>
  <si>
    <t>Any company with significant NHS exposure should have Brexit-specific supply chain review as a standard governance response to major regulatory changes; those that did this in 2017–2018 were better prepared in 2021</t>
  </si>
  <si>
    <t>Very High (no compensation)</t>
  </si>
  <si>
    <t>High (warehousing)</t>
  </si>
  <si>
    <t>Protected ST</t>
  </si>
  <si>
    <t>Negative (waste risk)</t>
  </si>
  <si>
    <t>High (air premium)</t>
  </si>
  <si>
    <t>Immediate (standby)</t>
  </si>
  <si>
    <t>High (compliance cost)</t>
  </si>
  <si>
    <t>Very High (£220M+/yr)</t>
  </si>
  <si>
    <t>Negotiation</t>
  </si>
  <si>
    <t>Would have Reduced</t>
  </si>
  <si>
    <t>Reduced (company)</t>
  </si>
  <si>
    <t>UK-EU mutual recognition agreement for pharmaceutical marketing authorisations</t>
  </si>
  <si>
    <t>Strategic national medicine reserve (government-funded, independent of commercial supply)</t>
  </si>
  <si>
    <t>Domestic API manufacturing investment programme</t>
  </si>
  <si>
    <t>Real-time NHS medicine shortage monitoring dashboard</t>
  </si>
  <si>
    <t>UK medicine pricing reform — align to EU reference pricing</t>
  </si>
  <si>
    <t>NHS pharmaceutical contract resilience requirements</t>
  </si>
  <si>
    <t>Negotiate a bilateral UK-EU MRA (Mutual Recognition Agreement) for pharmaceutical approvals — allowing EMA-approved medicines to be automatically recognised by MHRA for UK use, eliminating the dual-approval burden</t>
  </si>
  <si>
    <t>UK government establishes a government-funded strategic reserve of 20 most critical medicines held in distributed UK facilities independent of commercial supply chain — equivalent to strategic oil reserves</t>
  </si>
  <si>
    <t>UK government funds investment in domestic active pharmaceutical ingredient manufacturing capacity — reducing the 60–80% China/India API dependency that creates a second structural vulnerability on top of EU-UK border friction</t>
  </si>
  <si>
    <t>Build a joint DHSC-MHRA-NHS real-time digital dashboard monitoring medicine shortage signals across the NHS supply chain with automatic escalation protocols when stock levels fall below defined thresholds</t>
  </si>
  <si>
    <t>Review and reform UK Drug Tariff medicine prices to ensure UK prices are internationally competitive — reducing the commercial incentive to prioritise EU over UK supply in shortage situations</t>
  </si>
  <si>
    <t>All NHS pharmaceutical supply contracts to require suppliers to demonstrate: (a) multiple API sources, (b) EU + non-EU manufacturing options, (c) minimum 12-week UK buffer stock, (d) quarterly supply chain resilience reports</t>
  </si>
  <si>
    <t>Very High (industrial policy)</t>
  </si>
  <si>
    <t>Very High (NHS budget impact)</t>
  </si>
  <si>
    <t>Medium (procurement cost increase)</t>
  </si>
  <si>
    <t>Long (negotiation)</t>
  </si>
  <si>
    <t>Very Long (decade)</t>
  </si>
  <si>
    <t>Structurally Reduced (domestic)</t>
  </si>
  <si>
    <t>The single most impactful structural fix — removes the regulatory burden that makes UK a less attractive market and delays medicine launches; requires political willingness on both sides</t>
  </si>
  <si>
    <t>The 6-week commercial stockpile mandate was vulnerable to COVID depletion because it was held within the commercial supply chain; a government-funded reserve held separately is a true last-resort buffer</t>
  </si>
  <si>
    <t>UK pharmaceutical supply chain has two structural vulnerabilities: Brexit border + China/India API concentration; domestic API capacity addresses the second vulnerability independently of Brexit politics</t>
  </si>
  <si>
    <t>Currently medicine shortages are discovered by pharmacists when they cannot fill prescriptions; a real-time monitoring system identifies shortages 4–6 weeks earlier — when there is still time to activate alternative supply routes</t>
  </si>
  <si>
    <t>The NHS Drug Tariff sets prices below international comparators for many medicines; when global supply is constrained, companies allocate limited stock to higher-margin markets — pricing reform reduces UK supply diversion risk</t>
  </si>
  <si>
    <t>NHS procurement currently focuses on price; adding resilience criteria to NHS contracts makes supply chain resilience a standard contractual requirement rather than an emergency measure triggered by crises</t>
  </si>
  <si>
    <t>Struct. Reduced (domestic)</t>
  </si>
  <si>
    <t>Very High (NHS budget)</t>
  </si>
  <si>
    <t>Low (frictionless)</t>
  </si>
  <si>
    <t>Hours (Dover-Calais)</t>
  </si>
  <si>
    <t>Moderate (road/sea)</t>
  </si>
  <si>
    <t>Low (unrecognised)</t>
  </si>
  <si>
    <t>High (medicines available)</t>
  </si>
  <si>
    <t>Very High (stockpile cost)</t>
  </si>
  <si>
    <t>6-week buffer built</t>
  </si>
  <si>
    <t>Very High (warehousing+air)</t>
  </si>
  <si>
    <t>Protected (BCP)</t>
  </si>
  <si>
    <t>High (+£220M/yr NHS extra)</t>
  </si>
  <si>
    <t>Longer (customs)</t>
  </si>
  <si>
    <t>Higher (compliance burden)</t>
  </si>
  <si>
    <t>Chronic (shortage ↑)</t>
  </si>
  <si>
    <t>Declining (shortages ↑)</t>
  </si>
  <si>
    <t>Negative (more freight)</t>
  </si>
  <si>
    <t>Restored (MRA)</t>
  </si>
  <si>
    <t>Improved (less air freight)</t>
  </si>
  <si>
    <t>Ever Given — Suez Canal Blockage (March 2021): Single-chokepoint infrastructure failure halting $9.6B/day of global trade; Retail / Consumer Goods and Automotive Industries hardest hit</t>
  </si>
  <si>
    <t>Shipping / Logistics (Primary) — Retail / Consumer Goods (Top Industry Loss #1) — Automotive Manufacturing (Top Industry Loss #2) — Cross-Industry</t>
  </si>
  <si>
    <t>Ship operator: Evergreen Marine Corporation (Taiwan). Ship owner: Shoei Kisen Kaisha (Japan). Salvage: Boskalis (Netherlands). Canal authority: Suez Canal Authority (Egypt). Most impacted: European retailers (fashion, electronics, outdoor); VW, BMW, Mercedes-Benz, Toyota (automotive OEMs). Shipping loss benchmark: Maersk Line ~$89M (University of Gothenburg study, 2025).</t>
  </si>
  <si>
    <t>6-day blockage (23–29 March 2021). $9.6B of global trade disrupted per day. 430+ ships stranded at both canal entrances. 12% of all global trade transits Suez daily. Top 2 industry losses: (1) Retail/Consumer Goods — £1.3B UK losses alone; spring seasonal inventory missed selling windows; port congestion lasted 90 days post-reopening. (2) Automotive — components and finished vehicles delayed on top of existing $210B semiconductor chip shortage crisis. Total direct loss estimate: $2–2.5B EUR (GrECo/Prof. Kummer). Allianz estimate: up to $10B/week. Ever Given detained in Egypt 106 days in legal dispute.</t>
  </si>
  <si>
    <t>Node 1 – Suez Canal (critical chokepoint)</t>
  </si>
  <si>
    <t>The 193-km canal connecting Mediterranean to Red Sea through Egypt. Handles ~12% of global trade daily (~$9.6B). Southern section remains single-lane (265m wide). ~50 ships/day transit normally. No bypass route — only alternative is +10–14 days around Cape of Good Hope at ~$1M extra fuel cost per vessel.</t>
  </si>
  <si>
    <t>Node 2 – Asian Manufacturers → Shipping Lines</t>
  </si>
  <si>
    <t>Factories in China, Japan, South Korea, Vietnam and Southeast Asia produce consumer goods, electronics, automotive components and finished vehicles for European and American markets. All shipped westbound through the Suez Canal to reach buyers faster and cheaper than the Africa route.</t>
  </si>
  <si>
    <t>Node 3 – Retail / Consumer Goods Supply Chain (Top Loss #1)</t>
  </si>
  <si>
    <t>European and US retailers including fashion chains, electronics retailers, garden/outdoor goods and general merchandise depend on Asia-Europe Suez routing for spring and summer seasonal inventory. March is the critical window for spring collections. Seasonal goods have hard selling deadlines — late arrival = permanent revenue loss, not just a delay. UK retail losses alone: £1.3B. Inventory shortages hit retail Q2 2021.</t>
  </si>
  <si>
    <t>Node 4 – Automotive Supply Chain (Top Loss #2)</t>
  </si>
  <si>
    <t>Automotive OEMs (VW, BMW, Mercedes, Toyota, Nissan) depend on Suez for: (a) Asian-made components and wiring harnesses westbound to European assembly plants; (b) finished European luxury cars eastbound to Chinese and Asian markets. In March 2021 the industry was already losing ~$210B to the semiconductor chip shortage — any further component delay was catastrophic. "It only takes a shortage of one part to mess things up" — VP, Center for Automotive Research, Michigan.</t>
  </si>
  <si>
    <t>Node 5 – Boskalis Salvage / Suez Canal Authority</t>
  </si>
  <si>
    <t>Dutch dredging and salvage firm Boskalis was contracted to lead refloating. Removed 30,000 cubic metres of sand/mud from around the bow over 6 days. Eight tugboats applied continuous pulling force. A spring tide on Day 6 provided the extra buoyancy needed to refloat the vessel on 29 March 2021.</t>
  </si>
  <si>
    <t>Node 6 – European Ports (downstream bottleneck)</t>
  </si>
  <si>
    <t>Rotterdam, Hamburg, Antwerp, Felixstowe — primary European destinations for Asia cargo. Already congested from COVID-19 demand surge. After the canal reopened, 430+ ships needed to transit simultaneously, creating a secondary congestion wave at European ports lasting 90 days. Retail and automotive supply chains felt disruption for months after the 6-day blockage ended.</t>
  </si>
  <si>
    <t>Asian factories produce consumer goods, electronics, automotive components and finished vehicles for EU/US markets</t>
  </si>
  <si>
    <t>N2 Asian Manufacturers</t>
  </si>
  <si>
    <t>Goods loaded onto container ships at Chinese/Korean/Japanese ports; vessels sail westbound via Red Sea</t>
  </si>
  <si>
    <t>N2 → Suez entry</t>
  </si>
  <si>
    <t>Ships transit Suez Canal northbound under compulsory SCA pilotage (~50 ships/day at normal operation)</t>
  </si>
  <si>
    <t>N1 Suez Canal</t>
  </si>
  <si>
    <t>Container ships discharge at Rotterdam, Hamburg, Antwerp, Felixstowe; automotive ships unload at specialist ro-ro terminals</t>
  </si>
  <si>
    <t>N6 European Ports</t>
  </si>
  <si>
    <t>Retail goods distributed via road/rail to DCs and stores; fashion hits shelves for spring season (critical March window)</t>
  </si>
  <si>
    <t>N6 → N3 Retail</t>
  </si>
  <si>
    <t>Automotive components enter JIT assembly lines; finished vehicles reach European and Asian dealerships</t>
  </si>
  <si>
    <t>N6 → N4 Automotive</t>
  </si>
  <si>
    <t>Oil and LNG tankers transit southbound (Middle East → Europe) and northbound (European products → Asia)</t>
  </si>
  <si>
    <t>N1 Suez Canal (energy)</t>
  </si>
  <si>
    <t>Asia–Europe sea freight (40ft container): ~$2,000 pre-COVID baseline. Suez transit fee per vessel: ~$300,000 (vs ~$1M extra fuel to go around Africa). Canal generates &gt;$5B/year in revenue for Egypt (~$14–15M/day).</t>
  </si>
  <si>
    <t>Asia (Shanghai) → Rotterdam via Suez: ~25–30 days. Via Cape of Good Hope: ~38–45 days (+10–14 days). Automotive JIT: components needed daily; any delay stops assembly lines. Retail seasonal: spring goods must arrive by March to sell at full price.</t>
  </si>
  <si>
    <t>Suez route saves ~10–14 days of sailing vs Africa route — significant fuel and CO2 saving per voyage. Canal handles 1M barrels of oil per day. Rerouting adds ~44,574 metric tons of CO2 per disruption event (University of Gothenburg study, 2025).</t>
  </si>
  <si>
    <t>Minimal under normal operation. Perishables (food, pharma) aboard ships have time-sensitive value; electronics and consumer goods are durable. Automotive components are high-value and time-critical.</t>
  </si>
  <si>
    <t>High under normal operation — Suez route is fast, reliable and cost-efficient. Seasonal retail depends on on-time delivery for full-price selling. Automotive JIT depends on daily delivery for uninterrupted assembly.</t>
  </si>
  <si>
    <t>HIGH but unregistered pre-incident: single-lane southern section has ZERO redundancy. A 400m ship is wider than the canal at that point. No pre-existing contingency plans at industry level for a Suez closure. Canal designed in 1869 — before mega-ships existed.</t>
  </si>
  <si>
    <t>Not directly impacted by canal transit under normal conditions. Temperature-sensitive cargo (pharma, food) requires uninterrupted cold chain throughout transit.</t>
  </si>
  <si>
    <t>Suez route is significantly more sustainable than Cape of Good Hope alternative — shorter distance, less fuel, less CO2. Canal expansion and mega-ship growth create increasing single-lane risk.</t>
  </si>
  <si>
    <t>Not material to normal Suez Canal operation.</t>
  </si>
  <si>
    <t>23 March 2021, ~07:40 local time: Ever Given (400m, 220,000 tonnes, 20,124 TEU capacity, operated by Evergreen Marine) loses directional control in the single-lane southern section of the Suez Canal. Cause: sandstorm with 40–45 knot crosswinds, reduced visibility, and ship travelling at ~13.5 knots (normal: 7.5–8.5 knots). Bow embeds in eastern bank; stern approaches western bank. Total blockage of all northbound and southbound traffic.</t>
  </si>
  <si>
    <t>Combination of excessive transit speed, strong crosswinds from sandstorm, and reduced visibility caused loss of steerage. SCA pilots were in mandatory command during canal transit (not the ship's captain). Mega-ships now regularly transit a canal designed in 1869 for much smaller vessels — the southern section is only 265m wide, and the Ever Given is 400m long.</t>
  </si>
  <si>
    <t>The southern Suez Canal section is a single lane. A 400m ship wedged diagonally across it creates a total blockage in both directions with ZERO bypass. No single-lane section means no redundancy. One ship in the wrong position stops 12% of global trade entirely.</t>
  </si>
  <si>
    <t>Top 2 industries hit — Retail/Consumer Goods (#1)</t>
  </si>
  <si>
    <t>LARGEST LOSS SECTOR. March is the critical delivery window for European spring/summer seasonal inventory. Fashion, outdoor, garden and consumer electronics from Asian factories must arrive by March–April to sell at full price. The 6-day blockage + 90-day port congestion aftermath meant: (a) spring seasonal goods arrived late → sold at markdown or destroyed; (b) UK retail losses: £1.3B; (c) freight rates spiked 400–500% on Asia-Europe routes; (d) port congestion at Rotterdam, Hamburg and Felixstowe lasted 90 days post-reopening. Seasonal goods cannot be stored and sold next year — the revenue loss is permanent.</t>
  </si>
  <si>
    <t>Top 2 industries hit — Automotive (#2)</t>
  </si>
  <si>
    <t>SECOND-LARGEST LOSS SECTOR. The automotive industry was already in crisis from the 2020–2021 semiconductor chip shortage that would ultimately cost the industry ~$210B in 2021. The Ever Given blockage layered additional component and finished-vehicle delays on top of an already critical situation. VW, BMW, Mercedes and Toyota all had Asia-Europe component flows dependent on the Suez Canal. JIT manufacturing means one missing part stops an assembly line entirely. Freight prices on Mediterranean routes spiked 500% in March 2021 ($7,485 vs $1,478 in March 2020). Automotive components also include petroleum-based materials (plastics, rubber, synthetic fibres) from energy tankers also transiting the canal.</t>
  </si>
  <si>
    <t>Salvage operation</t>
  </si>
  <si>
    <t>Boskalis led 6-day salvage. Removed 30,000 cubic metres of sand/mud from around bow. Eight tugboats applied continuous pulling force. A spring tide on Day 6 (29 March 2021) provided the additional buoyancy needed. Ship refloated. Canal re-opened 29 March 2021 — but the backlog of 430+ ships took weeks to fully clear at European ports.</t>
  </si>
  <si>
    <t>$9.6B of global trade disrupted per day × 6 days = ~$57.6B. Total direct loss estimate: $2–2.5B EUR (GrECo/Prof. Sebastian Kummer). Allianz estimate: up to $10B/week. Insurance claims estimate: ~$2B. Maersk Line specific loss: ~$89M (University of Gothenburg, 2025, published International Journal of Production Economics). Suez Canal Authority lost $5.9M from ship detours. Ever Given detained by Egypt for 106 days in legal dispute; settlement estimate ~$500M.</t>
  </si>
  <si>
    <t>Retail: seasonal goods missed windows; markdown losses; permanent revenue loss. Automotive: component delays compounded chip shortage; some assembly pauses. Energy: oil prices rose 6% on Day 1; LNG tankers delayed. Electronics: consumer goods delayed; air freight used for urgent items at 5–10× cost. Agriculture: grain/food shipments to Middle East and North Africa disrupted. Pharma: medical equipment delays. Port congestion at European ports lasted 90 days post-reopening — the 6-day blockage created 3 months of downstream disruption.</t>
  </si>
  <si>
    <t>Wait for canal to reopen (do nothing)</t>
  </si>
  <si>
    <t>Reroute vessels via Cape of Good Hope</t>
  </si>
  <si>
    <t>Airfreight time-critical cargo (retail seasonal and automotive parts)</t>
  </si>
  <si>
    <t>Retail: advance markdown and inventory write-down</t>
  </si>
  <si>
    <t>Automotive: JIT emergency component sourcing via alternative routes</t>
  </si>
  <si>
    <t>Force majeure declaration and cargo insurance claims</t>
  </si>
  <si>
    <t>Accelerate salvage — lighter ship cargo removal</t>
  </si>
  <si>
    <t>Suez Canal Authority: extend second lane southward</t>
  </si>
  <si>
    <t>Revise mega-ship transit protocol (speed + pilot authority)</t>
  </si>
  <si>
    <t>Build multi-route supply chain intelligence system</t>
  </si>
  <si>
    <t>Hold vessels at both canal entrances; accept delay; wait for Ever Given to be refloated</t>
  </si>
  <si>
    <t>Divert vessels departing Asia to sail around southern Africa instead of using Suez Canal</t>
  </si>
  <si>
    <t>Identify highest-priority cargo on waiting ships — spring fashion, JIT automotive components — and switch to airfreight for urgent items</t>
  </si>
  <si>
    <t>Retailers accepting that spring seasonal goods will arrive late immediately activate markdown pricing, product substitution and demand-management to limit financial loss from missed seasonal windows</t>
  </si>
  <si>
    <t>Automotive OEMs (VW, BMW, Toyota) activate emergency component orders from European or North American secondary suppliers to bridge the supply gap caused by delayed Asian components</t>
  </si>
  <si>
    <t>Shipping companies and cargo owners formally declare force majeure; trigger marine cargo insurance claims for delayed, spoiled or season-missed cargo; notify customers of extended lead times</t>
  </si>
  <si>
    <t>Deploy floating cranes to remove containers from the Ever Given to reduce displacement and allow refloating — the fallback if tugboats and dredging alone fail</t>
  </si>
  <si>
    <t>SCA invests in extending the parallel second channel southward to eliminate the single-lane section where Ever Given grounded — removing the structural root cause</t>
  </si>
  <si>
    <t>SCA revises canal transit regulations: binding speed limits by vessel size in single-lane sections; joint captain+pilot navigational authority for ultra-large container vessels</t>
  </si>
  <si>
    <t>Retailers, automotive OEMs and logistics operators invest in real-time chokepoint monitoring platforms that trigger automatic rerouting alerts when Suez (or any maritime chokepoint) disruption exceeds 24 hours</t>
  </si>
  <si>
    <t>Medium (daily vessel operating cost)</t>
  </si>
  <si>
    <t>High (~$1M extra fuel per voyage)</t>
  </si>
  <si>
    <t>Very High (air: 5–10× sea cost)</t>
  </si>
  <si>
    <t>High (margin loss)</t>
  </si>
  <si>
    <t>Very High (premium sourcing)</t>
  </si>
  <si>
    <t>Low (administrative)</t>
  </si>
  <si>
    <t>Very High (crane mobilisation)</t>
  </si>
  <si>
    <t>Very High (infrastructure capex)</t>
  </si>
  <si>
    <t>Low (regulatory change)</t>
  </si>
  <si>
    <t>Uncertain — added days</t>
  </si>
  <si>
    <t>Long (+10–14 days per voyage)</t>
  </si>
  <si>
    <t>Immediate (strategic)</t>
  </si>
  <si>
    <t>Fast (alternative sourced)</t>
  </si>
  <si>
    <t>Slow (weeks)</t>
  </si>
  <si>
    <t>Medium (implementation)</t>
  </si>
  <si>
    <t>Low (ships idle)</t>
  </si>
  <si>
    <t>Very High (major extra CO2)</t>
  </si>
  <si>
    <t>Very High (aviation CO2)</t>
  </si>
  <si>
    <t>Higher (regional production)</t>
  </si>
  <si>
    <t>Very High (no action)</t>
  </si>
  <si>
    <t>Reduced (route redundancy)</t>
  </si>
  <si>
    <t>Reduced (priority items)</t>
  </si>
  <si>
    <t>Reduced (bridged)</t>
  </si>
  <si>
    <t>Financial hedged</t>
  </si>
  <si>
    <t>Reduced (speeds resolution)</t>
  </si>
  <si>
    <t>At risk (perishables)</t>
  </si>
  <si>
    <t>Risk of cargo damage</t>
  </si>
  <si>
    <t>Very Low (delayed)</t>
  </si>
  <si>
    <t>Low (delayed but delivered)</t>
  </si>
  <si>
    <t>Protected (priority)</t>
  </si>
  <si>
    <t>Low (markdown)</t>
  </si>
  <si>
    <t>Low (honest communication)</t>
  </si>
  <si>
    <t>Only if blockage expected to clear within 24–48 hours — beyond that, demurrage costs exceed rerouting costs</t>
  </si>
  <si>
    <t>When blockage exceeds 4–5 days and cargo is not time-critical; high cost but maintains delivery commitment — retailers whose spring season could still be partially saved chose this</t>
  </si>
  <si>
    <t>For pharma, JIT automotive components, seasonal fashion with hard deadlines — when the cargo value exceeds the airfreight premium; automotive used this to keep assembly lines running</t>
  </si>
  <si>
    <t>When delivery date is confirmed as post-peak-season — holding inventory in hope of full-price sale costs more than immediate markdown acceptance</t>
  </si>
  <si>
    <t>When JIT component stocks fall below 48-hour assembly threshold — more expensive than planned supply but less costly than stopping an assembly line</t>
  </si>
  <si>
    <t>Immediately upon blockage confirmation — legal and commercial communication cannot wait for operational resolution; retailers and OEMs need formal notification to activate their own contingency plans</t>
  </si>
  <si>
    <t>Only if tugboat + dredging approach fails after 7–10 days; avoided in this case as spring tide on Day 6 succeeded — lightening would have taken 2–4 additional weeks</t>
  </si>
  <si>
    <t>Post-incident infrastructure investment — SCA announced 10km extension of second lane post-2021; eliminates the zero-redundancy structure that allowed one ship to block all traffic</t>
  </si>
  <si>
    <t>Immediately post-incident; low-cost regulatory change that directly addresses the proximate cause — excessive speed in single-lane section under compulsory SCA pilot control</t>
  </si>
  <si>
    <t>Standard risk management for any company with &gt;20% of supply chain volume on a single maritime route — a digital system would have triggered retailer and automotive responses 48 hours earlier</t>
  </si>
  <si>
    <t>Uncertain/Long</t>
  </si>
  <si>
    <t>At risk</t>
  </si>
  <si>
    <t>High (~$1M/voyage)</t>
  </si>
  <si>
    <t>Long (+10–14 days)</t>
  </si>
  <si>
    <t>Very High (Africa CO2)</t>
  </si>
  <si>
    <t>Fast (days)</t>
  </si>
  <si>
    <t>Reduced (priority)</t>
  </si>
  <si>
    <t>Very High (premium)</t>
  </si>
  <si>
    <t>Higher (regional)</t>
  </si>
  <si>
    <t>Reduced (if done)</t>
  </si>
  <si>
    <t>Risk of damage</t>
  </si>
  <si>
    <t>15</t>
  </si>
  <si>
    <t>16</t>
  </si>
  <si>
    <t>17</t>
  </si>
  <si>
    <t>Real-time maritime chokepoint monitoring (Suez, Panama, Hormuz, Malacca)</t>
  </si>
  <si>
    <t>Retail: seasonal inventory dual-routing strategy</t>
  </si>
  <si>
    <t>Automotive: strategic component buffer (4-week) for Suez-routed parts</t>
  </si>
  <si>
    <t>Pre-contracted Cape of Good Hope rerouting capacity</t>
  </si>
  <si>
    <t>Marine cargo insurance with chokepoint-closure delay trigger</t>
  </si>
  <si>
    <t>Advocate for IMO mega-ship size limits in single-lane canals</t>
  </si>
  <si>
    <t>Retail / automotive cross-sector supply chain crisis sharing consortium</t>
  </si>
  <si>
    <t>Subscribe to or build a platform monitoring all critical maritime chokepoints in real time; trigger automatic supply-chain rerouting alerts when disruption probability exceeds threshold at any single node</t>
  </si>
  <si>
    <t>For all spring/summer seasonal inventory (hard deadline: arrives late = permanent loss), split shipments 50/50 across Suez-route AND non-Suez-route origins (near-shore sourcing from Turkey, North Africa, Eastern Europe) so no single chokepoint closure eliminates the selling season</t>
  </si>
  <si>
    <t>Automotive OEMs maintain a 4-week buffer of all JIT components that transit the Suez Canal — treating the canal as a single-source supplier requiring the same buffer as any sole-sourced critical part</t>
  </si>
  <si>
    <t>Negotiate advance capacity agreements with carriers offering Cape-route alternatives so that rerouting can begin within 24 hours of a Suez closure — instead of days while carriers compete for limited capacity</t>
  </si>
  <si>
    <t>Structure marine cargo insurance to explicitly cover chokepoint-closure delays — covering demurrage, perishable losses, seasonal window losses and rerouting cost premiums; specifically add Suez, Panama, Hormuz, Malacca as named perils</t>
  </si>
  <si>
    <t>Retail and automotive industry associations collectively advocate with IMO and SCA for binding maximum vessel size limits for single-lane canal transit — ultra-large container vessels (&gt;300m) should require widened sections before transit is permitted</t>
  </si>
  <si>
    <t>Establish a cross-sector consortium (fashion retailers + automotive OEMs + electronics companies + logistics providers) sharing real-time supply chain disruption intelligence — so that one company's early detection (e.g. a ship at anchor) benefits all members simultaneously</t>
  </si>
  <si>
    <t>High (near-shore premium)</t>
  </si>
  <si>
    <t>Medium (inventory holding cost)</t>
  </si>
  <si>
    <t>Low-Med (pre-contract cost)</t>
  </si>
  <si>
    <t>Low-Med (insurance premium)</t>
  </si>
  <si>
    <t>Low (advocacy/lobbying)</t>
  </si>
  <si>
    <t>Low-Med (consortium cost)</t>
  </si>
  <si>
    <t>Fast (technology)</t>
  </si>
  <si>
    <t>Long (sourcing restructure)</t>
  </si>
  <si>
    <t>Medium (build-up period)</t>
  </si>
  <si>
    <t>Fast (24-hour activation)</t>
  </si>
  <si>
    <t>Fast (policy change)</t>
  </si>
  <si>
    <t>Long (international regulation)</t>
  </si>
  <si>
    <t>High (CO2 if activated)</t>
  </si>
  <si>
    <t>Struct. Reduced (systemic)</t>
  </si>
  <si>
    <t>Reduced (collective)</t>
  </si>
  <si>
    <t>Protected (financially)</t>
  </si>
  <si>
    <t>Negative (if activated)</t>
  </si>
  <si>
    <t>For any company with &gt;20% supply-chain volume on a single maritime route — the Ever Given rerouting response was delayed by hours because monitoring did not exist; should be standard risk management</t>
  </si>
  <si>
    <t>For fashion, garden, outdoor and seasonal goods with hard selling windows — near-shore sourcing eliminates Suez route dependency for the most time-sensitive inventory categories; premium cost justified by permanent loss avoided</t>
  </si>
  <si>
    <t>The automotive lesson from Ever Given: JIT components routed through a single-lane canal have the same vulnerability as a sole-sourced component. Buffer stock converts a 6-day blockage into a non-event for the assembly line.</t>
  </si>
  <si>
    <t>As a contingency contract held but not activated — the cost of holding the option is small; the cost of scrambling for capacity during a blockage (500% freight rate spike) is catastrophic</t>
  </si>
  <si>
    <t>As financial backstop alongside operational measures — not a substitute for route redundancy; seasonal window losses (retail) and assembly downtime losses (automotive) are the key perils requiring coverage</t>
  </si>
  <si>
    <t>Industry-level response — the Ever Given is 400m long in a 265m-wide canal; the structural mismatch between mega-ship growth and canal infrastructure is a predictable, preventable risk; industry voices carry weight with IMO</t>
  </si>
  <si>
    <t>The Ever Given affected every company with Asia-Europe supply chains simultaneously — collective intelligence and coordinated rerouting would have been more efficient and cheaper than each company independently scrambling for Cape-route capacity</t>
  </si>
  <si>
    <t>High (near-shore)</t>
  </si>
  <si>
    <t>Fast (24-hr)</t>
  </si>
  <si>
    <t>Negative if used</t>
  </si>
  <si>
    <t>Pre-blockage (normal Suez operation)</t>
  </si>
  <si>
    <t>Low ($2K/40ft container)</t>
  </si>
  <si>
    <t>25–30 days Asia-Europe</t>
  </si>
  <si>
    <t>Efficient (short route)</t>
  </si>
  <si>
    <t>High (unrecog. SPOF)</t>
  </si>
  <si>
    <t>High (reliable, on-time)</t>
  </si>
  <si>
    <t>Efficient</t>
  </si>
  <si>
    <t>Blockage acute phase (6 days)</t>
  </si>
  <si>
    <t>Very High (demurrage + air)</t>
  </si>
  <si>
    <t>Indefinite (430+ ships stuck)</t>
  </si>
  <si>
    <t>Low (ships idle, no transit)</t>
  </si>
  <si>
    <t>Realised (catastrophic)</t>
  </si>
  <si>
    <t>Very Low (total stoppage)</t>
  </si>
  <si>
    <t>High (idle ships)</t>
  </si>
  <si>
    <t>Post-blockage port congestion (90 days)</t>
  </si>
  <si>
    <t>High (+freight rate spike 400–500%)</t>
  </si>
  <si>
    <t>Extended (+3–6 wks at EU ports)</t>
  </si>
  <si>
    <t>Higher (congestion/rerouting)</t>
  </si>
  <si>
    <t>Elevated (congestion)</t>
  </si>
  <si>
    <t>Low (retail: missed season)</t>
  </si>
  <si>
    <t>Higher (congestion)</t>
  </si>
  <si>
    <t>With retail/auto structural resilience (SA dec. 11–17)</t>
  </si>
  <si>
    <t>Low-Med (+near-shore premium)</t>
  </si>
  <si>
    <t>25–30 days (Suez) or 38–45 days (backup)</t>
  </si>
  <si>
    <t>Neutral (pre-planned)</t>
  </si>
  <si>
    <t>Protected (retail + auto)</t>
  </si>
  <si>
    <t>Slightly higher (buffer)</t>
  </si>
  <si>
    <t>Takata Airbag Recall (2015–2019+): Largest product recall in automotive history — ammonium nitrate inflator failure</t>
  </si>
  <si>
    <t>Automotive / Automotive Safety Components</t>
  </si>
  <si>
    <t>Supplier: Takata Corporation (Japan) → acquired as Joyson Safety Systems (2018). OEMs affected: Honda, Toyota, Nissan, Ford, GM, BMW, Chrysler, Subaru, Mazda, VW, Mercedes, Audi, Tesla, Ferrari + 5 others (19 brands total).</t>
  </si>
  <si>
    <t>Largest product recall in automotive history: 100M+ inflators recalled worldwide; 67M US vehicles recalled; 19 automaker brands; model years 1998–2018. 35 confirmed US deaths, 400+ US injuries as of 2024. Takata filed for bankruptcy June 2017 (largest manufacturing bankruptcy in Japanese history). Recall still ongoing in 2026.</t>
  </si>
  <si>
    <t>N1 — Takata Corporation (supplier)</t>
  </si>
  <si>
    <t>Japanese Tier-1 airbag manufacturer holding ~20% global airbag market share. Supplied safety-critical airbag inflators to 19 major automakers. Used ammonium nitrate (NH4NO3) propellant — cheaper than alternatives but degrades in heat/humidity cycles, causing inflator rupture and metal shrapnel ejection into vehicle cabin.</t>
  </si>
  <si>
    <t>N2 — 19 OEM automakers (customers)</t>
  </si>
  <si>
    <t>Honda, Toyota, Ford, GM, BMW, Nissan, Chrysler, Subaru, Mazda, VW, Mercedes, Audi, Tesla, Ferrari and others. All trusted Takata's test data and quality certifications. None conducted independent long-term propellant aging verification.</t>
  </si>
  <si>
    <t>N3 — Vehicle fleet (67M US vehicles)</t>
  </si>
  <si>
    <t>Consumer vehicles on the road fitted with defective Takata inflators spanning model years 1998–2018. Inflators become progressively MORE dangerous with age + heat + humidity exposure. Vehicles in hot/humid climates (FL, TX, Gulf Coast, Malaysia) highest risk.</t>
  </si>
  <si>
    <t>N4 — NHTSA / Regulators</t>
  </si>
  <si>
    <t>US National Highway Traffic Safety Administration. Received falsified test data from Takata for years. Opened formal investigation 2014. Issued phased recall orders by Priority Group (oldest/hottest-climate inflators first). Imposed $70M fine — then-record for auto safety violation.</t>
  </si>
  <si>
    <t>N5 — Dealer network</t>
  </si>
  <si>
    <t>Tens of thousands of dealers worldwide responsible for making recall repairs. Faced years-long parts shortages — replacement inflators on backlog for months to years. Vehicles under recall placed on retail sales hold (cannot be sold as new).</t>
  </si>
  <si>
    <t>N6 — Joyson Safety Systems (acquirer)</t>
  </si>
  <si>
    <t>Key Safety Systems (US, owned by China's Ningbo Joyson) acquired Takata in 2018 for $1.6 billion specifically to maintain manufacturing capacity for replacement inflators. Without a buyer, the recall would have had no supplier.</t>
  </si>
  <si>
    <t>Takata manufactures airbag inflators using ammonium nitrate propellant at factories across 4 continents</t>
  </si>
  <si>
    <t>N1 Takata</t>
  </si>
  <si>
    <t>Inflators shipped to OEM assembly plants as Tier-1 safety components for installation in vehicles</t>
  </si>
  <si>
    <t>N1 → N2 OEMs</t>
  </si>
  <si>
    <t>OEMs install inflators in steering wheels, dashboards and door pillars during vehicle assembly</t>
  </si>
  <si>
    <t>N2 OEMs</t>
  </si>
  <si>
    <t>Vehicles sold through dealer networks to consumers worldwide; inflators age in field conditions</t>
  </si>
  <si>
    <t>N2 → N3 Vehicle fleet</t>
  </si>
  <si>
    <t>Heat + humidity cycling degrades ammonium nitrate over years; rupture risk increases with age/climate</t>
  </si>
  <si>
    <t>N3 → Degradation</t>
  </si>
  <si>
    <t>Crash triggers defective inflator; instead of controlled inflation, inflator explodes; metal shrapnel injures/kills occupant</t>
  </si>
  <si>
    <t>N3 → N4 Fatality/injury</t>
  </si>
  <si>
    <t>NHTSA issues recall; OEMs notify vehicle owners; dealers replace inflators (when parts available)</t>
  </si>
  <si>
    <t>N4 → N5 → N3 Repair</t>
  </si>
  <si>
    <t>Replacement inflator cost: ~$100-200 per unit × 100M units = $10-20B+ industry total. Takata criminal penalty: $1B. Takata sale price: $1.6B. Individual OEM settlements: confidential but hundreds of millions each. Per-unit cost-saving from ammonium nitrate: fractions of a dollar.</t>
  </si>
  <si>
    <t>Recall repair lead time: weeks to years due to replacement inflator shortages. Priority Group system phased repairs over 2014-2024. Some owners waited 12+ months for parts after being notified car is dangerous.</t>
  </si>
  <si>
    <t>Not the primary concern for this case — product safety/quality failure.</t>
  </si>
  <si>
    <t>Hundreds of millions of recalled and replaced inflators. Scrappage of entire vehicles in extreme cases. Massive resource waste from a defect caused by a fraction-of-a-dollar cost saving.</t>
  </si>
  <si>
    <t>Catastrophically low: owners told car is dangerous; waiting months for repair; "do not drive" warnings for highest-risk vehicles. 35 US deaths directly attributed to the defect.</t>
  </si>
  <si>
    <t>EXTREME (realised): a single Tier-1 supplier with ~20% global airbag market share, supplying 19 OEMs simultaneously, with a defect that is invisible at manufacture and only manifests after years in certain climate conditions.</t>
  </si>
  <si>
    <t>Critically failed: deliberate use of unstable propellant; falsified test data provided to OEMs and regulators; internal knowledge of defect suppressed for 10+ years.</t>
  </si>
  <si>
    <t>Severe negative: millions of tons of recalled hardware; chemical contamination; resource waste from recalls spanning 25+ years of vehicle models.</t>
  </si>
  <si>
    <t>Low: no safe reuse of defective inflators; mass replacement with new units.</t>
  </si>
  <si>
    <t>2014-2015: After years of isolated recalls (starting 2008), NHTSA opened a formal investigation and ordered a nationwide US recall covering all Takata ammonium-nitrate inflators without desiccant. By 2015: 52.8M PSDI inflators, 7.7M SPI inflators, and additional types recalled via equipment recall orders. Recall expanded to 67M US vehicles by 2016.</t>
  </si>
  <si>
    <t>Ammonium nitrate (NH4NO3) propellant without a chemical drying agent (desiccant). NH4NO3 is hygroscopic — absorbs moisture. Repeated heat/humidity cycles cause crystalline structure change, altering burn rate. Under certain conditions the inflator detonates rather than burning at controlled rate: the metal canister ruptures and ejects shrapnel at high velocity into the vehicle cabin.</t>
  </si>
  <si>
    <t>Root cause (commercial)</t>
  </si>
  <si>
    <t>Takata chose ammonium nitrate because it was significantly cheaper than alternative propellants (sodium azide, tetrazole-based). Cost saving: fractions of a dollar per unit. This cost-cutting decision was not disclosed to OEMs or regulators as a trade-off against long-term chemical stability.</t>
  </si>
  <si>
    <t>Root cause (fraud)</t>
  </si>
  <si>
    <t>In 2017, Takata pleaded guilty to federal wire fraud charges for providing falsified safety test data to automakers. Takata's engineers had known about propellant degradation issues from internal testing as early as 2000-2001. Data was falsified to conceal defect. First death potentially linked to a Takata airbag: 2006 (a decade before the full recall scope was acknowledged).</t>
  </si>
  <si>
    <t>Scale of recall</t>
  </si>
  <si>
    <t>100M+ inflators recalled worldwide; 67M US vehicles across 19 OEM brands. Spans model years 1998-2018. Previous largest US recall (GM ignition switch): ~30M vehicles. Takata was 3-4× larger. Parts shortage: at peak, only 38% of US inflators under recall had been repaired. Owners waited months-to-years for replacement parts.</t>
  </si>
  <si>
    <t>OEM assembly holds: vehicles on recall could not be sold as new — sitting in dealer lots unsellable for months. Production planning disrupted as OEMs had to prioritise recall parts over new-vehicle components. Joyson Safety Systems rebuilt inflator manufacturing post-bankruptcy acquisition. Recall still requires ~5 million repairs as of 2026 (vehicles aging out of fleet).</t>
  </si>
  <si>
    <t>Deny / minimise (Takata initial response)</t>
  </si>
  <si>
    <t>Regional recall (high-humidity priority) 2011-2013</t>
  </si>
  <si>
    <t>NHTSA: nationwide compulsory recall (2015)</t>
  </si>
  <si>
    <t>OEM: accelerate recall repair scheduling</t>
  </si>
  <si>
    <t>Issue "Do Not Drive" orders for highest-risk vehicles</t>
  </si>
  <si>
    <t>Takata: plead guilty + establish victim compensation trust (2017)</t>
  </si>
  <si>
    <t>Joyson Safety Systems acquisition (2018)</t>
  </si>
  <si>
    <t>Phase out ammonium nitrate in all future inflators</t>
  </si>
  <si>
    <t>Attribute field failures to consumer misuse or isolated incidents; resist nationwide recall; provide partial/inaccurate data to NHTSA</t>
  </si>
  <si>
    <t>Restrict initial recalls to Florida, Hawaii, Puerto Rico and other high-humidity regions where inflators degrade fastest</t>
  </si>
  <si>
    <t>Issue Consent Order requiring recall of all Takata ammonium nitrate inflators without desiccant; establish Priority Group phasing by risk (age, humidity, crash history)</t>
  </si>
  <si>
    <t>OEMs individually communicate with all owners of affected vehicles; offer loaner cars; prioritise highest-risk vehicles; fund expanded dealer technician training</t>
  </si>
  <si>
    <t>NHTSA and OEMs jointly issue Do Not Drive warnings for oldest inflators in hottest climates — unprecedented in automotive history; offer free towing/loaner</t>
  </si>
  <si>
    <t>Takata pleads guilty to wire fraud; pays $1B penalty; establishes victim compensation trust as part of bankruptcy restructuring</t>
  </si>
  <si>
    <t>Key Safety Systems acquires Takata for $1.6B to maintain inflator manufacturing capacity through the ongoing recall; renames as Joyson Safety Systems</t>
  </si>
  <si>
    <t>NHTSA mandates phase-out of ammonium nitrate propellant in all new inflators; Takata/Joyson transitions to non-hygroscopic propellants (tetrazole, sodium azide-free alternatives)</t>
  </si>
  <si>
    <t>Lower (limited scope)</t>
  </si>
  <si>
    <t>High (regulatory enforcement)</t>
  </si>
  <si>
    <t>High (OEM cost)</t>
  </si>
  <si>
    <t>High (loaner fleet cost)</t>
  </si>
  <si>
    <t>Very High ($1B+ penalties)</t>
  </si>
  <si>
    <t>Very High ($1.6B acquisition)</t>
  </si>
  <si>
    <t>High (R&amp;D + retooling)</t>
  </si>
  <si>
    <t>Crisis delayed 6 years</t>
  </si>
  <si>
    <t>Long (years to complete)</t>
  </si>
  <si>
    <t>Immediate (legal)</t>
  </si>
  <si>
    <t>Fast (critical need)</t>
  </si>
  <si>
    <t>Long (production transition)</t>
  </si>
  <si>
    <t>Maximum (catastrophic)</t>
  </si>
  <si>
    <t>Reduced (partially)</t>
  </si>
  <si>
    <t>Financial closure</t>
  </si>
  <si>
    <t>Maintained (recall capacity)</t>
  </si>
  <si>
    <t>Structurally Eliminated (future)</t>
  </si>
  <si>
    <t>Failed</t>
  </si>
  <si>
    <t>Improved (long-term)</t>
  </si>
  <si>
    <t>High (priority)</t>
  </si>
  <si>
    <t>Low (partial)</t>
  </si>
  <si>
    <t>Low (scary for owners)</t>
  </si>
  <si>
    <t>Partial (victims compensated)</t>
  </si>
  <si>
    <t>Improved (parts available)</t>
  </si>
  <si>
    <t>Never — suppression converts a manageable quality recall into criminal liability and mass fatalities</t>
  </si>
  <si>
    <t>Only as a temporary prioritisation while nationwide recall capacity is built — not as a substitute for full recall</t>
  </si>
  <si>
    <t>Mandatory when a supplier defect affects safety across all OEM brands simultaneously — regulator must coordinate industry-wide</t>
  </si>
  <si>
    <t>Immediately upon recall announcement — OEM brand protection depends on demonstrating proactive response beyond minimum compliance</t>
  </si>
  <si>
    <t>When inflator rupture risk in a crash is assessed as near-certain for the oldest vehicles in highest-humidity regions — safety overrides all commercial considerations</t>
  </si>
  <si>
    <t>When criminal fraud is proven and company cannot survive recall costs — guilty plea + trust is the only path to structured victim compensation</t>
  </si>
  <si>
    <t>When a bankrupt supplier is mid-recall of a safety-critical component — acquisition by a competitor is the only way to maintain the parts supply needed to complete the recall</t>
  </si>
  <si>
    <t>After root cause confirmed — structural prevention for future vehicles; doesn't help existing fleet but eliminates recurrence</t>
  </si>
  <si>
    <t>Decisions Impact Summary - Decision Analysis by The Company</t>
  </si>
  <si>
    <t>Low (temp)</t>
  </si>
  <si>
    <t>Crisis delayed 6yr</t>
  </si>
  <si>
    <t>Maximum</t>
  </si>
  <si>
    <t>Improved LT</t>
  </si>
  <si>
    <t>High (loaners)</t>
  </si>
  <si>
    <t>Low (scared)</t>
  </si>
  <si>
    <t>Struct. Elim. future</t>
  </si>
  <si>
    <t>Independent OEM long-term component aging testing</t>
  </si>
  <si>
    <t>Mandatory supplier safety data disclosure to regulator</t>
  </si>
  <si>
    <t>Plant-level manufacturing traceability to inflator batch</t>
  </si>
  <si>
    <t>Propellant diversity requirement (no single-chemistry monopoly)</t>
  </si>
  <si>
    <t>Consumer-facing safety recall compliance tracker (digital)</t>
  </si>
  <si>
    <t>Apply ML to warranty claims data in real time to flag failure-mode patterns by vehicle age, plant of manufacture, and climate region — would have detected Takata inflator degradation pattern years earlier</t>
  </si>
  <si>
    <t>OEMs commission independent third-party testing of safety-critical components under simulated 10-15 year aging conditions in worst-case climate environments — not relying solely on supplier-provided data</t>
  </si>
  <si>
    <t>Require all Tier-1 safety component suppliers to submit raw test data (not summary reports) directly to NHTSA/regulatory body — eliminating the single point of suppression that allowed Takata to conceal data for 10+ years</t>
  </si>
  <si>
    <t>Encode manufacturing plant, production line, batch date and shift into every inflator so that field failures can be attributed to specific production sources within days — enabling targeted rather than blanket recalls</t>
  </si>
  <si>
    <t>Regulatory requirement that no single propellant chemistry may hold &gt;50% of inflator production in any major market — preventing a single chemistry failure from affecting 100M vehicles</t>
  </si>
  <si>
    <t>Build a government-accessible digital platform where vehicle owners enter VIN and see open recall status, severity rating and nearest available repair appointment in real time — replacing paper notices many owners ignored</t>
  </si>
  <si>
    <t>Long (test cycles)</t>
  </si>
  <si>
    <t>As soon as warranty data volumes allow ML pattern detection — the Takata failure was visible in warranty claims from ~2006; ML would have flagged it within months</t>
  </si>
  <si>
    <t>For all safety-critical components where failure mode is time- and environment-dependent; Takata's fraud was enabled by OEM reliance on supplier test data</t>
  </si>
  <si>
    <t>As regulatory reform post-Takata; equivalent to what the TREAD Act did for tires — supplier test data must flow directly to regulators, not only to OEMs</t>
  </si>
  <si>
    <t>At time of component design/specification; the Takata recall would have been a fraction of the size if plant-level traceability had existed in 2000-2005</t>
  </si>
  <si>
    <t>Industry-wide regulatory reform; prevents the concentration risk where ammonium nitrate was used by the dominant supplier serving all major OEMs</t>
  </si>
  <si>
    <t>Post-recall: improving recall completion rate is as important as issuing the recall — 5 million Takata inflators still unreplaced in 2026 largely due to owner awareness gaps</t>
  </si>
  <si>
    <t>Reduced (compliance)</t>
  </si>
  <si>
    <t>High (unaware)</t>
  </si>
  <si>
    <t>Months delay</t>
  </si>
  <si>
    <t>Severe neg.</t>
  </si>
  <si>
    <t>Med (ongoing)</t>
  </si>
  <si>
    <t>Normal+recall</t>
  </si>
  <si>
    <t>Shipping / Logistics / Cross-Industry</t>
  </si>
  <si>
    <t>Ever Given — Suez Canal Blockage (March 2021): single-chokepoint infrastructure failure blocking 12% of global trade</t>
  </si>
  <si>
    <t>Suez Canal (single-lane S. section), Ever Given vessel, 430+ waiting ships, European ports, Global end-users</t>
  </si>
  <si>
    <t>Strong crosswinds + dust storm + excessive speed caused 400m container ship to run aground across the single-lane southern Suez Canal section, blocking all traffic in both directions for 6 days</t>
  </si>
  <si>
    <t>• ~$9B of global trade disrupted per day · • 430+ ships stranded at both canal entrances · • Suez Canal generates &gt;$5B/year for Egypt — 6 days of lost revenue · • Insurance claims ~$2B · • Ever Given detained 106 days in legal dispute · • Oil prices +6% on Day 1 · • Retail, automotive, electronics most impacted</t>
  </si>
  <si>
    <t>• Single-lane canal section = 0% redundancy — one ship stops everything · • Mega-ships now exceed canal design specifications from 1869 · • Spring tide saved the salvage — luck should not be a supply chain strategy · • Demonstrates that chokepoint risk (Suez, Panama, Hormuz) must be actively modelled, not assumed away</t>
  </si>
  <si>
    <t>Takata Airbag Recall (2015–2019+): largest product recall in automotive history — ammonium nitrate inflator failure, 35 US deaths, 100M+ vehicles recalled</t>
  </si>
  <si>
    <t>Takata Corporation (supplier), 19 OEM automakers, 67M US vehicles (consumer fleet), NHTSA, Dealer network, Joyson Safety Systems (acquirer)</t>
  </si>
  <si>
    <t>Takata used cheap ammonium nitrate propellant in airbag inflators; chemical degrades in heat/humidity causing rupture and metal shrapnel ejection; defect concealed via falsified test data for 10+ years; deaths from 2006; full recall scale acknowledged 2014-2015</t>
  </si>
  <si>
    <t>• 35 US deaths + 400+ US injuries (as of 2024) · • 100M+ inflators recalled; 67M US vehicles across 19 brands · • Takata filed for bankruptcy 2017 (largest manufacturing bankruptcy in Japanese history) · • $1B criminal penalty for wire fraud · • Acquired by Joyson Safety Systems for $1.6B · • ~5M repairs still outstanding in 2026 — recall spans 25+ years of vehicle models</t>
  </si>
  <si>
    <t>• Single Tier-1 supplier with 20% global airbag market share supplying 19 OEMs = industry-wide systemic risk from one quality failure · • Cost-cutting of fractions-of-a-dollar per unit created $10B+ industry recall · • Fraud suppressed the safety signal for 10+ years — 258+ preventable deaths post-knowledge · • Direct parallel with Firestone/Ford (FIB-008): both cases = safety data suppression + OEM reliance on supplier test data</t>
  </si>
  <si>
    <t>FIB-018</t>
  </si>
  <si>
    <t>FIB-019</t>
  </si>
  <si>
    <t>Food &amp; Beverage / Confectionery / Agricultural Commodities</t>
  </si>
  <si>
    <t>Cocoa Price Crisis — West Africa Crop Failures (2023-2024): El Niño drought + Swollen Shoot Virus eliminate 30-45% of harvest; cocoa hits $11,530/tonne (60-year high); Hershey -26.6%; Mondelēz volumes -21%; Nestlé bars legally no longer "chocolate"</t>
  </si>
  <si>
    <t>West Africa cocoa farms (Côte d'Ivoire / Ghana), Crop failure causes (El Niño + CSSV), COCOBOD/CCC marketing boards, International traders/processors (Barry Callebaut/Cargill), Global confectionery manufacturers, Consumers</t>
  </si>
  <si>
    <t>El Niño-driven drought + Cocoa Swollen Shoot Virus + ageing trees eliminate 30-45% of harvest in the world's 2 dominant producing countries (60-70% of global supply); COCOBOD pre-sold crop at $2,661/tonne that later hit $11,530/tonne — $1.3B in forward contract losses; global deficit -374,000 metric tonnes</t>
  </si>
  <si>
    <t>• Ivory Coast port shipments down 30% YoY to 8-year low · • Ghana actual output 432,145t vs 800,000t forecast — 45% miss, 22-year low · • Cocoa peak: $11,530/tonne (13 Jun 2024) — 60-year high, +300% from $2,800 · • COCOBOD $1.3B forward-contract losses; GH₵60B total liabilities · • Hershey Q1 2025 confectionery -26.6%; Mondelēz NA volumes -21%; Nestlé +10% price increase; Barry Callebaut volumes -6.1% · • 22% of manufacturers reformulated at least one product line; Nestlé bars legally no longer "chocolate"</t>
  </si>
  <si>
    <t>• 60-70% of world cocoa in 2 countries sharing the same climate is a single source with a flag — the definitive agricultural concentration risk case · • Farmers' paradox: West African growers received only 40-50% of world prices during the crisis they caused by under-producing · • COCOBOD governance failure: pre-selling 70-80% of forecast crop before harvest produces $1.3B losses when actual output misses by 45% · • Price volatility (+300% then -75% in 24 months) shows that commodity concentration + speculative futures + climate risk create extreme supply chain volatility with no short-term fix</t>
  </si>
  <si>
    <t>Rail Logistics / Chemicals / Industrial Transport / Environmental / Regulatory</t>
  </si>
  <si>
    <t>East Palestine Ohio Train Derailment (3 Feb 2023): wheel bearing failure for 20+ miles; HBD threshold too high; crew not alerted; 116,000 gallons vinyl chloride burned unnecessarily; 16 states contaminated; 110M Americans affected; Norfolk Southern total cost $2.2B</t>
  </si>
  <si>
    <t>Norfolk Southern freight train (149 cars; 38 derailed), Overheated wheel bearing (root cause), Hazardous chemicals (5 cars vinyl chloride + others), East Palestine community + first responders, Controlled burn (the preventable escalation), 16-state contamination + $2.2B costs</t>
  </si>
  <si>
    <t>3 Feb 2023: NS freight train derails 38 cars in East Palestine, Ohio; 11 cars carry hazmat but train NOT classified as hazmat (lower protocols); wheel bearing was on fire for 20+ miles but HBD threshold too high to stop train; first responders took 1 hour to identify chemicals; controlled burn of vinyl chloride UNNECESSARY (OxyChem told NS tank cars were stable; NS did not tell fire chief); 116,000 gallons of carcinogen released</t>
  </si>
  <si>
    <t>• Contamination: 16 US states; 540,000 sq mi (14% US land area); ~110M Americans (1/3 of US population) · • 43,000+ aquatic animals killed in first month · • Norfolk Southern total costs end 2024: $2.2B · • Settlement breakdown: $310M EPA/DOJ + $600M class action + $22M village + &gt;$200M rail safety · • NTSB finding: controlled burn was likely UNNECESSARY (OxyChem had told NS tank cars were stable) · • Bearing was visibly on fire for 20+ miles before derailment; HBD threshold set too high; crew not alerted in time</t>
  </si>
  <si>
    <t>• The sensor data existed (HBDs measured the overheating); the threshold was wrong; the crew was not alerted — shows that sensor data only has value if the system acts on it · • The unnecessary controlled burn is the definitive case of a crisis decision made on INCOMPLETE information: the chemical manufacturer's safety assessment never reached the decision-maker · • Three simultaneous regulatory failures: train classification exemption (no hazmat protocols), first responder information gap (no AskRail), HBD threshold too high — any one of these individually might have been survivable · • $2.2B is the cost of three preventable failures occurring simultaneously; the Railway Safety Act 2023 addressing all three was stalled by railroad industry lobbying</t>
  </si>
  <si>
    <t>FIB-020</t>
  </si>
  <si>
    <t>FIB-021</t>
  </si>
  <si>
    <t>Cocoa Price Crisis — West Africa Crop Failures (2023-2024): El Niño drought, Swollen Shoot Virus and governance failures eliminate one-third of world cocoa supply; prices hit 60-year record</t>
  </si>
  <si>
    <t>Primary producers: COCOBOD (Ghana) — missed 800,000t forecast by 45%; produced only 432,145t; $1.3B in forward-contract losses. CCC (Ivory Coast) — halted forward sales; 30% port shipment decline. Downstream: Mondelēz International (Cadbury, Toblerone) — North American chocolate volume -21%; Hershey — Q1 2025 confectionery segment value -26.6%; Nestlé — 10% price increase across confectionery; Barry Callebaut (world's largest bulk chocolate processor) — FY2024/25 volumes -6.1%. Mars — Galaxy bars shrunk from 110g to 100g; Snickers/Twix multipacks from 5 to 4 bars.</t>
  </si>
  <si>
    <t>Côte d'Ivoire + Ghana produce ~60-70% of global cocoa. Ivory Coast port shipments Oct 2023–Jun 2024: 1.5M metric tonnes — down 30% YoY, 8-year low. Ghana 2023/24 harvest: 432,145 tonnes vs 800,000t forecast — 45% miss, 22-year low. Global cocoa deficit 2023/24: -374,000 metric tonnes (ICCO) — stock-to-grindings ratio lowest in 40+ years. Peak price: $11,530/tonne (13 June 2024) — 60-year high; +300% from pre-crisis level of ~$2,800. Price crash: $3,000/tonne (April 2026) — 75% decline from peak. COCOBOD total liabilities: GH₵60 billion; $1.3B forward-contract losses. 22% of chocolate manufacturers reformulated at least one product line since 2024.</t>
  </si>
  <si>
    <t>N1 — West Africa cocoa farms (Côte d'Ivoire / Ghana)</t>
  </si>
  <si>
    <t>Côte d'Ivoire and Ghana together supply ~60-70% of global cocoa beans. Production on ~3 million small family farms (typically 2-4 hectares). Trees average 25-30 years — significant proportion are past peak productivity. Farms concentrated in the tropical forest belt: Côte d'Ivoire's "cocoa belt" and Ghana's Western and Ashanti regions. Geographic concentration means any regional climate event or disease outbreak simultaneously affects the majority of world supply.</t>
  </si>
  <si>
    <t>N2 — Crop failure causes: El Niño drought + Swollen Shoot Virus</t>
  </si>
  <si>
    <t>El Niño 2023-2024: reduced rainfall and intensified dry Harmattan winds at critical crop development stages destroyed flower set and pod fill. Cocoa Swollen Shoot Virus (CSSV): viral disease carried by mealybugs; infected trees produce dramatically reduced yields then die; no cure — only containment measure is cutting out infected trees. Additional: illegal gold mining ("galamsey") in Ghana contaminated soil near cocoa farms with arsenic, lead and mercury. Ageing tree stock (&gt;25 years past peak production) multiplied the impact of all three stressors simultaneously.</t>
  </si>
  <si>
    <t>N3 — Government marketing boards (COCOBOD / CCC)</t>
  </si>
  <si>
    <t>Ghana: COCOBOD (Ghana Cocoa Board) pre-sells 70-80% of projected crop as forward contracts before season opens — locking in export prices before harvest is known. Ivory Coast: CCC (Conseil du Café-Cacao) sets regulated farm gate prices. Both systems protect farmers from price volatility but simultaneously prevent them capturing price upside. When production fell 45% below forecast, COCOBOD could not deliver 333,767t already contracted at $2,661/tonne average — while spot prices rose to $11,530/tonne. Resulted in $1.3B in rollover forward-contract losses.</t>
  </si>
  <si>
    <t>N4 — International cocoa traders and processors</t>
  </si>
  <si>
    <t>Key commodity trading firms: Cargill, Barry Callebaut, Olam, Sucden. These companies purchase raw cocoa beans, process them into cocoa butter, cocoa powder and chocolate mass, and sell to confectionery manufacturers. Barry Callebaut (world's largest bulk chocolate processor) saw FY2024/25 volumes fall 6.1% to 2.27M tonnes — customers reducing cocoa content per finished product. Ivory Coast halted forward sales for 2024/25 season in January 2024, disrupting traders' ability to secure longer-term supply contracts.</t>
  </si>
  <si>
    <t>N5 — Global confectionery manufacturers (downstream)</t>
  </si>
  <si>
    <t>Mondelēz (Cadbury, Toblerone, Milka, Oreo): North American chocolate volume -21% in 13 weeks ending September 2025; warned cocoa prices would heavily impact 2025 performance; forecast 10% drop in adjusted EPS. Hershey: Q1 2025 confectionery segment value -26.6%; implementing shrinkflation. Nestlé: 10% price increase across confectionery portfolio; reformulated Toffee Crisp and Blue Riband so legally no longer classifiable as "chocolate". Mars: Galaxy bars 110g → 100g; Snickers/Twix multipacks 5 → 4 bars. Industry data: chocolate confectionery prices +27.5% YoY September 2024 (US government data).</t>
  </si>
  <si>
    <t>N6 — Consumers (end market)</t>
  </si>
  <si>
    <t>Countries in the Global North make up 70% of global chocolate sales. Consumers facing: 30%+ chocolate price inflation; shrinkflation (smaller products at same or higher price); product reformulation (less cocoa content). Average price per unit up 7.6% YoY to $3.74 (Circana data, December 2024). Cadbury Freddo price up 150% in 2024 (UK). Consumer response: trading down to private-label alternatives; reducing purchase frequency; some shift away from premium chocolate.</t>
  </si>
  <si>
    <t>Cocoa pods harvested from farms (2 seasons/year); fermented and dried to produce cocoa beans</t>
  </si>
  <si>
    <t>N1 West Africa farms</t>
  </si>
  <si>
    <t>Beans sold to government marketing boards (COCOBOD/CCC) at regulated farm gate prices</t>
  </si>
  <si>
    <t>N1 → N3 Marketing boards</t>
  </si>
  <si>
    <t>Beans exported via ports (Abidjan, Tema, Takoradi) to international trading firms and processors</t>
  </si>
  <si>
    <t>N3 → N4 Traders/processors</t>
  </si>
  <si>
    <t>Traders process beans into cocoa butter, powder and mass at grinding facilities globally</t>
  </si>
  <si>
    <t>N4 Processors</t>
  </si>
  <si>
    <t>Processed cocoa ingredients sold to confectionery manufacturers (Mondelēz, Hershey, Nestlé, Mars)</t>
  </si>
  <si>
    <t>N4 → N5 Manufacturers</t>
  </si>
  <si>
    <t>Chocolate products manufactured and distributed to retail globally; consumers purchase</t>
  </si>
  <si>
    <t>N5 → N6 Consumers</t>
  </si>
  <si>
    <t>DISRUPTION: El Niño + CSSV + ageing trees → 30-45% harvest collapse → commodity price +300% in 18 months</t>
  </si>
  <si>
    <t>N1-N2 Supply collapse</t>
  </si>
  <si>
    <t>Pre-crisis: cocoa $2,200-2,800/tonne (2022 average). Confectionery manufacturers typically hedge 12-18 months ahead at ~$2,800. Cocoa represents 15-40% of total production cost depending on product.</t>
  </si>
  <si>
    <t>Farm to finished chocolate: 6-9 months (harvest → ferment/dry → ship → process → manufacture → distribute). Forward contracts typically cover 12-18 months ahead. Farmers receive regulated farm gate prices with 2-4 week payment lag after delivery.</t>
  </si>
  <si>
    <t>Cocoa farming: significant deforestation impact in Côte d'Ivoire and Ghana. CSSV-infected tree removal accelerates forest clearance. Shipping: West Africa → Europe/North America sea freight. Confectionery manufacturing: energy-intensive tempering, moulding and packaging processes.</t>
  </si>
  <si>
    <t>CSSV-infected trees must be destroyed — permanent destruction of productive assets. Underripe or disease-damaged pods discarded at farm. Reformulated products with reduced cocoa content produce waste from retooling and testing.</t>
  </si>
  <si>
    <t>Pre-crisis: high — stable prices, consistent product sizes and formulations. Crisis period: declining — price increases, shrinkflation, reformulation (products legally cannot be called "chocolate"), consumer trust erosion.</t>
  </si>
  <si>
    <t>HIGH structural: Côte d'Ivoire + Ghana = 60-70% of global supply. No scalable alternative origin exists. Ecuador is growing but cannot substitute West African volumes in &lt;10 years. CSSV is endemic and has no cure — only containment.</t>
  </si>
  <si>
    <t>Pre-crisis: West African cocoa is Bulk Grade (lower flavour complexity than fine/flavour cocoa but essential for volume production). Crisis: manufacturers reducing cocoa content per product — Nestlé's reformulated bars can no longer legally be called "chocolate." 22% of manufacturers reformulated at least one product line since 2024.</t>
  </si>
  <si>
    <t>Critical structural issue: West African farmers receive only 40-50% of world prices (vs 90% for South American growers). Poverty, child labour and deforestation are persistent issues. CSSV accelerated deforestation. Farm gate prices did not meaningfully reflect the 300% commodity price surge.</t>
  </si>
  <si>
    <t>Very Low: cocoa pods are largely single-use; processing generates cocoa husks/shells used for animal feed or soil amendment. No significant circular economy dimension in current industry structure.</t>
  </si>
  <si>
    <t>Wave 1 — Poor 2022/23 season (first warning)</t>
  </si>
  <si>
    <t>Global cocoa deficit 2022/23: -74,000 metric tonnes (ICCO). Prices rose from ~$2,200 to ~$3,000/tonne by end 2023. Industry noted as "below-average season" but manufacturers absorbed within hedging programmes. COCOBOD pre-sold 70-80% of projected 2023/24 crop at forward prices around $2,661/tonne before the season opened.</t>
  </si>
  <si>
    <t>Wave 2 — Catastrophic 2023/24 harvest collapse</t>
  </si>
  <si>
    <t>Ivory Coast port shipments Oct 2023–Jun 2024: 1.5M metric tonnes — 30% decline YoY, 8-year low. Ghana actual production: 432,145 tonnes vs 800,000t forecast — 45% miss, 22-year low. ICCO revised global deficit to -374,000 metric tonnes (from -74,000t). Ivory Coast halted all forward sales for 2024/25 season (January 2024). Nigeria Jan 2024 cocoa exports down 15% YoY.</t>
  </si>
  <si>
    <t>Price explosion (December 2023 – June 2024)</t>
  </si>
  <si>
    <t>Prices: $4,200/tonne (Dec 2023) → $6,000 (Feb 2024) → $9,000 (Mar 2024) → $11,000 (mid-April 2024) → peak $11,530 (13 June 2024). Commodity futures market +163% in Q1 2024 alone. Freightos Baltic Index: cocoa-shipping rates surged. ICE-monitored US cocoa inventories fell to 3-year low.</t>
  </si>
  <si>
    <t>COCOBOD governance failure and $1.3B loss</t>
  </si>
  <si>
    <t>COCOBOD had pre-sold 333,767 tonnes it could not deliver at $2,661/tonne average while spot prices hit $11,530/tonne. The simultaneous surge in world prices did not benefit Ghanaian farmers — COCOBOD's losses compounded. Ghana Cocoa Board entered 2025/26 season carrying GH₵60 billion in total liabilities. The perverse outcome: the country that caused the shortage by under-producing could not benefit from the price surge it created.</t>
  </si>
  <si>
    <t>Controlled burn — unnecessary vent and burn was wrong description; delete this row and use instead: Impact on confectionery manufacturers</t>
  </si>
  <si>
    <t>Wave 1 hedging expired into new record prices by 2024/25. Manufacturers faced brutal squeeze: Hershey Q1 2025 confectionery segment -26.6%. Mondelēz North American chocolate volume -21% (13 weeks to Sept 2025). Nestlé implemented 10% price increase triggering -1.1% volume decline. Barry Callebaut FY2024/25 volumes -6.1%. 22% of manufacturers reformulated at least one product line. Nestlé's Toffee Crisp and Blue Riband reformulated so severely they can no longer legally be called "chocolate."</t>
  </si>
  <si>
    <t>Shrinkflation as industry-wide supply chain response</t>
  </si>
  <si>
    <t>Cadbury Dairy Milk: 200g → 180g. Galaxy bars: 110g → 100g. Mars/Twix/Snickers multipacks: 5 → 4 bars. Mars milk chocolate egg: 252g → 201g at same £3 price. Average chocolate price per unit: +7.6% YoY (Circana, Dec 2024). Chocolate confectionery prices +27.5% YoY (US government data, Sept 2024). General food inflation ~7%; chocolate inflation 30× higher. Cadbury Freddo: +150% in 2024 (UK).</t>
  </si>
  <si>
    <t>Farmers' paradox — the people closest to the source benefited least</t>
  </si>
  <si>
    <t>West African farmers receive only 40-50% of world prices (vs 90% in South America) due to government-fixed farm gate prices. When spot prices hit $11,530/tonne, growers still earned the fixed COCOBOD/CCC rate — equivalent to ~$3,000/tonne. Then when prices crashed 75% to $3,000 by April 2026, the same farmers faced income collapse while their governments were managing the consequences of forward contract losses. More than 700,000 metric tonnes of cocoa were stuck with Ivorian farmers with no buyers by 2026.</t>
  </si>
  <si>
    <t>Absorb rising costs — maintain product spec / no price change</t>
  </si>
  <si>
    <t>Pass cost to consumers — price increases</t>
  </si>
  <si>
    <t>Shrinkflation — reduce product size at same or higher price</t>
  </si>
  <si>
    <t>Reformulate — reduce cocoa content / substitute ingredients</t>
  </si>
  <si>
    <t>Forward hedging — extend futures contract coverage</t>
  </si>
  <si>
    <t>Geographic diversification — increase Ecuador / Latin America sourcing</t>
  </si>
  <si>
    <t>Ivory Coast / Ghana: halt forward sales of crop</t>
  </si>
  <si>
    <t>Invest in cocoa-free / lab-grown alternatives</t>
  </si>
  <si>
    <t>Government: raise farm gate prices to incentivise production</t>
  </si>
  <si>
    <t>Cocoa traceability and EU Deforestation Regulation compliance</t>
  </si>
  <si>
    <t>Manufacturer absorbs 163%+ raw material cost increase through margin compression; maintains product size and recipe unchanged</t>
  </si>
  <si>
    <t>Raise retail prices 10-27% to recover elevated cocoa input cost; communicate transparently to retailers and consumers</t>
  </si>
  <si>
    <t>Reduce bar/pack size (e.g. 200g → 180g; 5-pack → 4-pack) while maintaining or slightly increasing price; reduces cocoa volume per unit without labelling change</t>
  </si>
  <si>
    <t>Replace a proportion of cocoa solids or butter with vegetable fat, compound chocolate or other substitutes; maintain price and size</t>
  </si>
  <si>
    <t>Buy cocoa futures contracts extending coverage from 12 months to 24-36 months to lock in current (still elevated) prices and protect against further spikes</t>
  </si>
  <si>
    <t>Actively develop alternative cocoa supply relationships in Ecuador, Peru, Colombia and Brazil — reducing dependence on West African origins</t>
  </si>
  <si>
    <t>CCC and COCOBOD suspend forward cocoa export contracts for next season amid production uncertainty — preventing underselling in a rising market</t>
  </si>
  <si>
    <t>Fund R&amp;D in cocoa-free chocolate alternatives (fermentation-based, cell-cultured cocoa butter, plant-derived substitutes) to reduce long-term cocoa dependency</t>
  </si>
  <si>
    <t>COCOBOD raised farm gate prices 58.26% (GH₵20.93 → GH₵33.12/kg). CCC raised Ivory Coast farm gate price 50% (FCFA 1000 → 1500/kg). Attempts to incentivise farmers to maintain/increase production</t>
  </si>
  <si>
    <t>Implement farm-level traceability systems to comply with the EU Deforestation Regulation (EUDR — delayed to Dec 2025); certify cocoa as deforestation-free to maintain EU market access</t>
  </si>
  <si>
    <t>Very High (margin compression)</t>
  </si>
  <si>
    <t>Medium (revenue per unit up)</t>
  </si>
  <si>
    <t>Low-Med (manufacturing line adjustment)</t>
  </si>
  <si>
    <t>Low-Med (R&amp;D + retooling)</t>
  </si>
  <si>
    <t>Medium (futures premium)</t>
  </si>
  <si>
    <t>Medium-High (sourcing development)</t>
  </si>
  <si>
    <t>Low (government policy)</t>
  </si>
  <si>
    <t>High (R&amp;D investment)</t>
  </si>
  <si>
    <t>Very High (government subsidy cost)</t>
  </si>
  <si>
    <t>Medium (technology + audit cost)</t>
  </si>
  <si>
    <t>Medium (formulation development)</t>
  </si>
  <si>
    <t>Long (3-5 years to develop volumes)</t>
  </si>
  <si>
    <t>Long (5-10 years commercial scale)</t>
  </si>
  <si>
    <t>Low (less cocoa used)</t>
  </si>
  <si>
    <t>Lower (less cocoa)</t>
  </si>
  <si>
    <t>Lower (alternative ingredients)</t>
  </si>
  <si>
    <t>Very High (financial)</t>
  </si>
  <si>
    <t>Reduced (financial)</t>
  </si>
  <si>
    <t>Reduced (price certainty)</t>
  </si>
  <si>
    <t>Reduced (price risk for govt)</t>
  </si>
  <si>
    <t>Structurally Reduced (long-term)</t>
  </si>
  <si>
    <t>Partially Reduced (production incentive)</t>
  </si>
  <si>
    <t>Regulatory compliance</t>
  </si>
  <si>
    <t>Reduced (less product)</t>
  </si>
  <si>
    <t>Reduced (quality)</t>
  </si>
  <si>
    <t>TBD (consumer acceptance unknown)</t>
  </si>
  <si>
    <t>High (no change visible)</t>
  </si>
  <si>
    <t>Low-Medium (price sensitivity)</t>
  </si>
  <si>
    <t>Low (consumer notices)</t>
  </si>
  <si>
    <t>Low (taste change)</t>
  </si>
  <si>
    <t>Protected (cost stability)</t>
  </si>
  <si>
    <t>Protected (govt financial position)</t>
  </si>
  <si>
    <t>Improved (farmer viability)</t>
  </si>
  <si>
    <t>Improved (EU market access)</t>
  </si>
  <si>
    <t>Positive (deforestation ↓)</t>
  </si>
  <si>
    <t>Only viable for 1-2 quarters on existing hedges; terminal if cocoa prices remain elevated; works for highly hedged companies with long-dated contracts expiring later</t>
  </si>
  <si>
    <t>When brand strength and consumer loyalty allow premium pricing; Nestlé 10% increase caused only -1.1% volume decline — acceptable trade-off at that level</t>
  </si>
  <si>
    <t>Common industry response during cocoa price spikes; effective short-term but erodes consumer trust; consumer backlash risk if not communicated; used by Cadbury, Mars, Hershey, Nestlé</t>
  </si>
  <si>
    <t>When price pressure is extreme and multi-year; risk of product losing legal "chocolate" classification (EU/UK require minimum cocoa content); Nestlé Toffee Crisp and Blue Riband lost "chocolate" label after reformulation</t>
  </si>
  <si>
    <t>When current prices — even elevated — are below the expected future price trajectory; expensive if prices fall (locked in above market); standard practice for all major confectionery manufacturers</t>
  </si>
  <si>
    <t>Strategic long-term response; Ecuador targeting 650,000t by 2027; cannot substitute West African volumes in &lt;5-10 years; premium for fine/flavour cocoa origins improves quality positioning</t>
  </si>
  <si>
    <t>When actual harvest is likely to fall significantly below forecast; prevents the COCOBOD disaster of selling $2,661/tonne what later sold at $11,530/tonne; activated by Ivory Coast January 2024</t>
  </si>
  <si>
    <t>Long-term strategic hedge against chronic cocoa supply risk; Nestlé using ChoViva; Cargill launched NextCoa; Mondelēz backed Celleste Bio (cell-cultured cocoa butter); Planet A Foods raised $30M Series B December 2024</t>
  </si>
  <si>
    <t>Essential when fixed farm gate prices are disconnected from world prices by such a large margin that farmers abandon cocoa for other crops; critical to preventing further supply collapse in 2025/26</t>
  </si>
  <si>
    <t>Mandatory for any company selling cocoa or chocolate products in the EU from December 2025; non-compliance = market exclusion; Ghana and Ivory Coast ARS-1000 standard by 2023 had 80%+ of Ivorian sustainability-programme cocoa traceable to farmer</t>
  </si>
  <si>
    <t>Medium (revenue ↑)</t>
  </si>
  <si>
    <t>Medium (futures)</t>
  </si>
  <si>
    <t>Struct. Reduced LT</t>
  </si>
  <si>
    <t>Very High (subsidy)</t>
  </si>
  <si>
    <t>Multi-origin cocoa sourcing mandate — max 40% from any single country</t>
  </si>
  <si>
    <t>ICCO-backed African Cocoa Commodities Exchange (Ghana + Côte d'Ivoire + Nigeria + Cameroon)</t>
  </si>
  <si>
    <t>Cocoa farmer crop insurance and income stabilisation programme</t>
  </si>
  <si>
    <t>CSSV-resistant cocoa variety development and mass distribution</t>
  </si>
  <si>
    <t>Real-time crop condition intelligence platform (satellite + AI)</t>
  </si>
  <si>
    <t>Cocoa-free alternative ingredients accelerator fund</t>
  </si>
  <si>
    <t>All confectionery manufacturers adopt a sourcing policy capping exposure to any single cocoa-producing country at 40% of total cocoa procurement — forcing diversification across West Africa, Latin America and Asia-Pacific</t>
  </si>
  <si>
    <t>Establish a jointly governed commodities exchange giving West African producers genuine price discovery, transparent forward pricing and the ability to capture upside during price spikes — replacing the colonial-era fixed price model</t>
  </si>
  <si>
    <t>USAID, EU development funds and confectionery industry collectively fund crop insurance for West African cocoa farmers — covering CSSV losses, climate events and farm-gate price collapse below minimum threshold</t>
  </si>
  <si>
    <t>International Cocoa Research Institute (ICCO + CABI) accelerates development of CSSV-resistant cocoa tree varieties; industry funds mass distribution of virus-resistant planting material to replace infected trees in Côte d'Ivoire and Ghana</t>
  </si>
  <si>
    <t>Build or subscribe to a satellite-based crop monitoring platform (drone imagery, NDVI analysis, yield modelling) covering West Africa cocoa regions — providing 6-month advance warning of harvest shortfalls to all market participants</t>
  </si>
  <si>
    <t>Confectionery industry establishes a collective R&amp;D fund ($500M+) to accelerate development of commercially viable cocoa-free ingredients (fermentation, cell culture, plant-derived) to commercial scale by 2030</t>
  </si>
  <si>
    <t>Medium (sourcing premium)</t>
  </si>
  <si>
    <t>Low-Med (diplomatic/institutional)</t>
  </si>
  <si>
    <t>Medium (premium cost + donor funding)</t>
  </si>
  <si>
    <t>High (R&amp;D + planting programme)</t>
  </si>
  <si>
    <t>High (collective R&amp;D)</t>
  </si>
  <si>
    <t>Long (3-5 years to restructure)</t>
  </si>
  <si>
    <t>Long (5-10 years)</t>
  </si>
  <si>
    <t>Very Long (10+ years for new trees)</t>
  </si>
  <si>
    <t>Fast (subscription model)</t>
  </si>
  <si>
    <t>Long (5-10 years commercial)</t>
  </si>
  <si>
    <t>Positive (less deforestation)</t>
  </si>
  <si>
    <t>Struct. Reduced (governance risk)</t>
  </si>
  <si>
    <t>Reduced (farmer viability)</t>
  </si>
  <si>
    <t>Struct. Reduced (disease risk)</t>
  </si>
  <si>
    <t>Reduced (early warning)</t>
  </si>
  <si>
    <t>Struct. Reduced (long-term)</t>
  </si>
  <si>
    <t>Improved (stable farm income)</t>
  </si>
  <si>
    <t>High (restored)</t>
  </si>
  <si>
    <t>TBD (consumer acceptance)</t>
  </si>
  <si>
    <t>Improved (farmers capture upside)</t>
  </si>
  <si>
    <t>Improved (price planning)</t>
  </si>
  <si>
    <t>The definitional structural fix: 60-70% concentration in two adjacent countries sharing the same climate is not a supply chain — it is a single source with a flag. 40% cap forces genuine geographic diversification.</t>
  </si>
  <si>
    <t>Addresses the farmers' paradox: West African farmers received 40-50% of world prices during the crisis. A producer-governed exchange gives producing countries the market intelligence and financial tools to capture value; ICCO-backed discussions already underway</t>
  </si>
  <si>
    <t>Without income security, farmers abandon cocoa for other crops or mining (galamsey) — which destroys the long-term supply base. Crop insurance is cheaper than managing supply collapse after it occurs.</t>
  </si>
  <si>
    <t>The only true structural fix for CSSV risk; new trees take 3-5 years to reach full production; a 10-year programme starting now prevents the next crisis; industry-funded because $11,530/tonne cocoa is incomparably more expensive than tree replacement programmes</t>
  </si>
  <si>
    <t>COCOBOD sold forward contracts based on a forecast that missed by 45% — real-time satellite crop monitoring would have flagged the production shortfall months earlier, allowing forward contract revision before the $1.3B loss was locked in</t>
  </si>
  <si>
    <t>The cocoa supply chain is structurally vulnerable at its most fundamental level — geographic concentration of an agricultural commodity in a climate-exposed region. Technology disruption (lab-grown cocoa/chocolate) is the De Beers lab-grown diamond equivalent for the confectionery industry.</t>
  </si>
  <si>
    <t>Pre-crisis (2019-2022)</t>
  </si>
  <si>
    <t>~$2,200-2,800/tonne</t>
  </si>
  <si>
    <t>6-9 months farm-to-shelf</t>
  </si>
  <si>
    <t>High (deforestation)</t>
  </si>
  <si>
    <t>High (unrecog. concentration)</t>
  </si>
  <si>
    <t>Consistent</t>
  </si>
  <si>
    <t>High (stable)</t>
  </si>
  <si>
    <t>Crisis peak (Apr-Jun 2024)</t>
  </si>
  <si>
    <t>$11,530/tonne (60-yr high; +300%)</t>
  </si>
  <si>
    <t>Normal (physical supply)</t>
  </si>
  <si>
    <t>Higher (emergency sourcing)</t>
  </si>
  <si>
    <t>Declining (shrinkflation)</t>
  </si>
  <si>
    <t>Very Low (price shock)</t>
  </si>
  <si>
    <t>Price crash (Apr 2026)</t>
  </si>
  <si>
    <t>~$3,000/tonne (-75% from peak)</t>
  </si>
  <si>
    <t>Reduced (short-term)</t>
  </si>
  <si>
    <t>Further declining (reformulation)</t>
  </si>
  <si>
    <t>Low (product smaller/different)</t>
  </si>
  <si>
    <t>Negative (farmers' income collapse)</t>
  </si>
  <si>
    <t>With structural resilience (dec. 11-16)</t>
  </si>
  <si>
    <t>$3,000-5,000/tonne (diversified)</t>
  </si>
  <si>
    <t>6-9 months (multi-origin)</t>
  </si>
  <si>
    <t>Maintained (CSSV-resistant trees)</t>
  </si>
  <si>
    <t>Positive (farmer income)</t>
  </si>
  <si>
    <t>East Palestine Ohio Train Derailment (February 2023): wheel bearing failure + controlled burn releases 116,000 gallons of vinyl chloride; $2.2B in costs; 16 states contaminated; fundamental rail hazmat safety failures exposed</t>
  </si>
  <si>
    <t>Railroad: Norfolk Southern Railway (NS) — total costs as of end 2024: $2.2B (cleanup + legal + settlements). Settlements: $310M (EPA/DOJ federal settlement, May 2024); $600M (class action, East Palestine residents); $22M (village of East Palestine, 2025). Rail safety enhancements: &gt;$200M committed. Chemical manufacturers: OxyChem (vinyl chloride — informed NS tank cars were NOT at risk of explosion; this was not passed to the fire chief). First responder: East Palestine volunteer fire department (did not have access to AskRail app; 1 hour elapsed before they knew what was on the train). Regulator: NTSB (found controlled burn was likely UNNECESSARY); FRA; EPA.</t>
  </si>
  <si>
    <t>38 of 149 cars derailed (3 Feb 2023, 21:00 local time), East Palestine, Ohio (Ohio-Pennsylvania border). 11 cars carried hazardous chemicals (train NOT classified as hazmat train — lower safety protocols applied). 5 cars contained vinyl chloride (carcinogen). Controlled burn: 116,000 gallons vinyl chloride released. Contamination spread: 16 US states; 540,000 square miles (14% of US land area); ~110 million residents (1/3 of US population) impacted by pollution (Environmental Research Letters study, 2024). Aquatic kills: 43,000+ animals in first month. Norfolk Southern total costs end 2024: $2.2B. Root cause: overheated wheel bearing visible on camera for 20+ miles before derailment; hot box detector threshold set too high; crew not alerted in time. NTSB finding: controlled burn was likely UNNECESSARY — vinyl chloride tank cars were NOT at risk of exploding (OxyChem told NS; NS did not pass this to fire chief).</t>
  </si>
  <si>
    <t>N1 — Norfolk Southern freight train (149 cars, 38 derailed)</t>
  </si>
  <si>
    <t>A 149-car Norfolk Southern freight train travelling from Madison, Illinois to Conway, Pennsylvania. The train was NOT classified as a hazmat train despite 11 cars carrying hazardous chemicals — this classification would have required notification and display of cargo contents, and triggered enhanced safety protocols. 38 cars derailed at 21:00 on 3 February 2023 in East Palestine, Ohio (population ~4,700), on the Ohio-Pennsylvania border.</t>
  </si>
  <si>
    <t>N2 — Overheated wheel bearing (root cause)</t>
  </si>
  <si>
    <t>Root cause identified by both NTSB and FRA: a roller bearing on one of the rail cars failed due to overheating. Security camera footage from businesses along the route showed the bearing glowing red and throwing sparks for more than 20 miles before the derailment. Hot box detectors (HBDs) — trackside sensors that measure bearing temperatures as trains pass — detected elevated temperatures, but the alarm threshold was set too high to trigger an emergency stop. Norfolk Southern's procedures for communicating HBD data to train crews were inadequate and under-staffed.</t>
  </si>
  <si>
    <t>N3 — Hazardous chemicals (vinyl chloride + other)</t>
  </si>
  <si>
    <t>5 cars contained vinyl chloride (a colourless carcinogenic gas used to make PVC plastic — the most widely produced plastic in the world). Additional chemicals: butyl acrylate (flammable liquid, likely ignited first per NTSB), ethylene glycol monobutyl ether, ethylhexyl acrylate, isobutylene. Total: 11 of 38 derailed cars carried hazardous materials. A tank car leaking butyl acrylate likely ignited first. 3 railcars carrying flammable/combustible material were punctured during the derailment.</t>
  </si>
  <si>
    <t>N4 — East Palestine community + first responders</t>
  </si>
  <si>
    <t>East Palestine volunteer fire department arrived quickly but lacked access to AskRail (mobile app identifying chemicals on derailed trains) — nearly 1 hour elapsed before first responders knew what was on the train. ~1,500-5,000 residents evacuated from 1×2-mile area. Ohio Governor DeWine and Pennsylvania Governor Shapiro ordered evacuation. Residents reported immediate health effects: respiratory irritation, burning eyes, headaches, skin rashes, nausea. Concerns about drinking water (East Palestine watershed drains to Ohio River — primary water source for many municipalities).</t>
  </si>
  <si>
    <t>N5 — Controlled burn (the preventable escalation)</t>
  </si>
  <si>
    <t>On 6 February 2023 (3 days post-derailment), authorities conducted a "vent and burn" — draining and igniting the vinyl chloride from 5 tank cars to prevent a feared explosion. 116,000 gallons of vinyl chloride were released and burned, producing a large black toxic mushroom cloud. CRITICAL FINDING: OxyChem (the vinyl chloride manufacturer) had informed Norfolk Southern that the tank cars were NOT at risk of exploding. This information was NOT passed to the fire chief who authorised the burn. The NTSB subsequently concluded the controlled burn was likely UNNECESSARY — making it the most damaging act of the entire incident.</t>
  </si>
  <si>
    <t>N6 — 16-state contamination + $2.2B consequences</t>
  </si>
  <si>
    <t>Pollution spread: 16 US states; 540,000 square miles; ~110 million residents (1/3 of US population). Aquatic kills: 43,000+ animals in first month. Leslie Run, Bull Creek and Sulphur Run visibly contaminated. Chloride and pH levels in northern Pennsylvania and US-Canada border regions were at highest levels in the prior 12 years (National Atmospheric Deposition Program study). Norfolk Southern total costs as of end 2024: $2.2B (cleanup ~$780M + EPA/DOJ settlement $310M + class action $600M + rail safety enhancements &gt;$200M + village settlement $22M).</t>
  </si>
  <si>
    <t>Norfolk Southern freight train departs Madison, Illinois bound for Conway, Pennsylvania (149 cars)</t>
  </si>
  <si>
    <t>N1 NS freight train</t>
  </si>
  <si>
    <t>Wheel bearing on Car 23 (estimated) begins overheating; visible as glowing red sparks on camera footage for 20+ miles</t>
  </si>
  <si>
    <t>N2 Bearing failure (undetected)</t>
  </si>
  <si>
    <t>Hot box detectors measure elevated bearing temperature but threshold set too high; crew not alerted in time to stop train</t>
  </si>
  <si>
    <t>N2 → HBD failure</t>
  </si>
  <si>
    <t>Bearing catastrophically fails; 38 cars derail at East Palestine, Ohio (21:00, 3 Feb 2023); 3 cars punctured, fire begins</t>
  </si>
  <si>
    <t>N1 → Derailment</t>
  </si>
  <si>
    <t>First responders arrive; take 1 hour to identify chemicals (no AskRail access); butyl acrylate likely ignited first</t>
  </si>
  <si>
    <t>N4 First response</t>
  </si>
  <si>
    <t>NS contractors advise controlled burn of vinyl chloride; fire chief authorises without receiving OxyChem's assessment that cars were stable</t>
  </si>
  <si>
    <t>N3 + N5 → Controlled burn</t>
  </si>
  <si>
    <t>116,000 gallons vinyl chloride burned; toxic plume spreads across 16 states; 43,000+ aquatic kills; 1,500+ residents evacuated then allowed return</t>
  </si>
  <si>
    <t>N5 → N6 Contamination</t>
  </si>
  <si>
    <t>Normal hazmat rail transport: ~$0.03-0.05/tonne-mile (among the lowest-cost options for bulk chemical transport). Vinyl chloride: ~$800-1,200/tonne market price. No additional cost premium for HBD monitoring above minimum regulatory requirements. Insurance carried but thresholds not designed for multi-state contamination.</t>
  </si>
  <si>
    <t>Rail is the standard mode for bulk chemical transport across the US. Typical transit: 2-5 days Chicago-Pennsylvania corridor. Vinyl chloride: produced continuously at chemical plants; shipped to PVC manufacturers in tank cars. Just-in-time delivery expected by downstream PVC plastic manufacturers.</t>
  </si>
  <si>
    <t>Rail is significantly lower CO2 per tonne-mile than truck (approximately 4× more fuel-efficient). Controlled burn of 116,000 gallons vinyl chloride: significant toxic chemical emissions. Cleanup operations: extensive heavy equipment and remediation chemical use over months.</t>
  </si>
  <si>
    <t>116,000 gallons vinyl chloride burned and released to atmosphere. Contaminated soil and sediment in East Palestine: hundreds of thousands of tonnes requiring remediation. Contaminated waterways: Leslie Run, Bull Creek, Sulphur Run required ongoing treatment. Demolished structures in most severely affected areas.</t>
  </si>
  <si>
    <t>PVC manufacturers downstream from OxyChem lost vinyl chloride supply for the duration of the incident. East Palestine residents: severe ongoing dissatisfaction with health monitoring inadequacy, government response delays and information transparency. Public trust in Norfolk Southern and rail industry safety: critically damaged.</t>
  </si>
  <si>
    <t>HIGH but structurally unaddressed: 3.1 billion tonnes of hazardous chemicals transported by rail annually in the US. Hot box detector thresholds and communication protocols were inadequate across the industry, not just NS. Train classification exemptions allowed hazmat trains to avoid hazmat protocols.</t>
  </si>
  <si>
    <t>Vinyl chloride quality was not at issue — the chemical product itself performed to specification. The quality failure was entirely in the safety monitoring, classification, detection, communication and crisis decision-making systems surrounding its transport.</t>
  </si>
  <si>
    <t>Extremely Negative: 116,000 gallons of carcinogenic gas released; 16 states contaminated; 43,000+ aquatic animals killed; ongoing soil and water remediation required. Long-term health effects on East Palestine residents (vinyl chloride is a known hepatocellular carcinogen) not yet fully determined.</t>
  </si>
  <si>
    <t>Low — not material to this case.</t>
  </si>
  <si>
    <t>Root cause — overheated wheel bearing (preventable)</t>
  </si>
  <si>
    <t>A roller bearing on one of the derailed cars began overheating. Camera footage showed the bearing on fire for 20+ miles before derailment. Hot box detectors (HBDs) measured elevated temperatures but: (1) the alarm threshold was set too high to trigger an emergency stop; (2) NS had inadequate staffing to monitor and communicate HBD data to train crews; (3) the bearing temperature data was available but the system did not act on it. The derailment was preventable if the HBD threshold had been set correctly and the communication protocol had been adequate.</t>
  </si>
  <si>
    <t>Failure 1 — Train classification exemption</t>
  </si>
  <si>
    <t>11 of the derailed cars carried hazardous chemicals, but the train was NOT officially classified as a hazmat train. This classification would have required: notification to first responders of cargo contents; display of hazmat placarding; enhanced safety protocols for the entire train. Because it was not classified as hazmat, the volunteer fire department had no advance notice of the chemicals aboard.</t>
  </si>
  <si>
    <t>Failure 2 — First responder information gap</t>
  </si>
  <si>
    <t>East Palestine volunteer firefighters arrived without access to AskRail — the mobile app that allows first responders to identify what chemicals are on a derailed train. Almost 1 hour elapsed before first responders knew they were dealing with vinyl chloride, butyl acrylate and other hazardous chemicals. This delay meant early containment decisions were made without chemical identification.</t>
  </si>
  <si>
    <t>Failure 3 — The unnecessary controlled burn</t>
  </si>
  <si>
    <t>On 6 February 2023, NS contractors advised the fire chief to vent and burn the vinyl chloride from 5 tank cars to prevent an explosion. The fire chief authorised the burn. CRITICAL: OxyChem (the vinyl chloride manufacturer) had informed Norfolk Southern that the tank cars were NOT at risk of exploding. This safety assessment was NOT passed to the fire chief. NTSB Chair Jennifer Homendy stated the controlled burn was "likely unnecessary." The burn released 116,000 gallons of carcinogenic vinyl chloride and caused most of the subsequent 16-state contamination.</t>
  </si>
  <si>
    <t>Failure 4 — Evidence tampering / preservation failure</t>
  </si>
  <si>
    <t>Norfolk Southern had only 20 minutes of voice recordings from the derailed train's cab available weeks later, despite the NTSB's chief investigator demanding evidence preservation immediately after the accident. The NTSB chair stated that Norfolk Southern interfered with the investigation. Activist investor Ancora Holdings subsequently launched an unsuccessful proxy fight to remove NS board members.</t>
  </si>
  <si>
    <t>Norfolk Southern total costs as of end 2024: $2.2B. Breakdown: environmental cleanup ~$780M; EPA/DOJ settlement $310M (inc. $15M civil penalty); class action settlement $600M (residents within 20-mile radius); rail safety enhancements &gt;$200M; village of East Palestine settlement $22M (2025). Most expensive freight rail accident in US history. NS must also install additional hot box detectors under the EPA consent decree.</t>
  </si>
  <si>
    <t>Contamination scale</t>
  </si>
  <si>
    <t>Pollution spread confirmed by Environmental Research Letters study (June 2024): 16 US states; 540,000 square miles; ~110 million Americans (1/3 of US population) impacted. Chloride and pH levels in northern Pennsylvania and US-Canada border: highest recorded in prior 12 years. 43,000+ aquatic animals killed in first month. Researchers: "I didn't expect to see an impact this far out." Long-term health implications for East Palestine residents (vinyl chloride is a known human carcinogen for liver cancer) will take years to assess.</t>
  </si>
  <si>
    <t>Conduct controlled burn of vinyl chloride (the critical error)</t>
  </si>
  <si>
    <t>Evacuate 1,500+ residents immediately</t>
  </si>
  <si>
    <t>Submit full chemical manifest to EPA 7 days post-accident</t>
  </si>
  <si>
    <t>Agree $310M EPA/DOJ settlement and $600M class action</t>
  </si>
  <si>
    <t>Install additional hot box detectors (per EPA consent decree)</t>
  </si>
  <si>
    <t>Community health monitoring and water testing programme</t>
  </si>
  <si>
    <t>Commit to 24/7 emergency response centre with AskRail</t>
  </si>
  <si>
    <t>Lobby against Railway Safety Act 2023 (decision not taken well)</t>
  </si>
  <si>
    <t>Replace CEO and announce safety transformation programme</t>
  </si>
  <si>
    <t>Provide $22M settlement to village of East Palestine</t>
  </si>
  <si>
    <t>NS contractors advised and fire chief authorised vent-and-burn of 5 vinyl chloride tank cars to prevent feared explosion — despite OxyChem having informed NS that the cars were NOT at risk</t>
  </si>
  <si>
    <t>Ohio and Pennsylvania governors order evacuation of 1×2-mile area surrounding the derailment immediately upon confirmation of vinyl chloride release</t>
  </si>
  <si>
    <t>NS discloses full inventory of hazardous chemicals on the train (including butyl acrylate, ethylene glycol monobutyl ether, ethylhexyl acrylate, isobutylene) in remediation plan to Ohio EPA — 7 days after the derailment</t>
  </si>
  <si>
    <t>NS agrees to $310M federal settlement (May 2024) and $600M class action settlement for residents; commits to &gt;$200M in rail safety enhancements including additional HBD installation</t>
  </si>
  <si>
    <t>NS commits to installing additional HBD devices along its network and increasing staffing to monitor and communicate HBD data to train crews in real time — the direct operational fix to the proximate cause</t>
  </si>
  <si>
    <t>NS funds ongoing air quality monitoring, drinking water testing, soil contamination assessment and health monitoring for East Palestine residents</t>
  </si>
  <si>
    <t>NS establishes a 24/7 hazmat emergency response centre that can be reached by any first responder immediately and provides complete chemical inventory for any NS train within minutes</t>
  </si>
  <si>
    <t>Major freight railroads collectively lobbied against the Railway Safety Act of 2023, contributing to the bill stalling in the Senate. The act would have required 2-person crews and new HBD standards</t>
  </si>
  <si>
    <t>NS replaces CEO Alan Shaw (removed following activist investor campaign and NTSB criticism of interference); announces comprehensive safety culture transformation</t>
  </si>
  <si>
    <t>NS settles separately with the village of East Palestine for $22M to fund community recovery, infrastructure restoration and long-term monitoring (2025)</t>
  </si>
  <si>
    <t>Very High (all subsequent costs)</t>
  </si>
  <si>
    <t>Low (emergency order)</t>
  </si>
  <si>
    <t>Low (reporting)</t>
  </si>
  <si>
    <t>Very High ($910M+)</t>
  </si>
  <si>
    <t>High (&gt;$200M rail safety)</t>
  </si>
  <si>
    <t>High (ongoing commitment)</t>
  </si>
  <si>
    <t>Low-Med (operational cost)</t>
  </si>
  <si>
    <t>Low (lobbying cost)</t>
  </si>
  <si>
    <t>Medium (leadership transition)</t>
  </si>
  <si>
    <t>Low-Med ($22M)</t>
  </si>
  <si>
    <t>7 days delay</t>
  </si>
  <si>
    <t>15 months post-accident</t>
  </si>
  <si>
    <t>Medium (installation programme)</t>
  </si>
  <si>
    <t>Long-term (years)</t>
  </si>
  <si>
    <t>Fast (implementation)</t>
  </si>
  <si>
    <t>Legislation stalled</t>
  </si>
  <si>
    <t>Months (implementation)</t>
  </si>
  <si>
    <t>2 years post-accident</t>
  </si>
  <si>
    <t>Catastrophic (116,000 gal VC)</t>
  </si>
  <si>
    <t>Reduced (immediate safety)</t>
  </si>
  <si>
    <t>Partially Managed (late disclosure)</t>
  </si>
  <si>
    <t>Reputational managed</t>
  </si>
  <si>
    <t>Maintained (systemic risk)</t>
  </si>
  <si>
    <t>Community closure (partial)</t>
  </si>
  <si>
    <t>Catastrophic failure</t>
  </si>
  <si>
    <t>Maintained (reform blocked)</t>
  </si>
  <si>
    <t>Very Low (residents harmed)</t>
  </si>
  <si>
    <t>Protected (immediate)</t>
  </si>
  <si>
    <t>Very Low (delayed information)</t>
  </si>
  <si>
    <t>Protected (future trains)</t>
  </si>
  <si>
    <t>Partially Improved (trust)</t>
  </si>
  <si>
    <t>Not Improved</t>
  </si>
  <si>
    <t>Partially Improved (local)</t>
  </si>
  <si>
    <t>This decision should NOT have been made — the chemical manufacturer's safety assessment (tank cars stable) was never passed to the decision-maker. The lesson: in chemical emergency decisions, the manufacturer's assessment must reach the on-site decision-maker before any irreversible action.</t>
  </si>
  <si>
    <t>Correct and immediate — evacuation of the affected zone before the controlled burn was the right human safety decision regardless of the burn decision; should have remained in place longer than the 3 days before residents were told to return</t>
  </si>
  <si>
    <t>This information should have been disclosed to first responders within hours — the 7-day delay before the full chemical inventory was known meant the controlled burn decision was made without complete information about all chemicals on the train</t>
  </si>
  <si>
    <t>Unavoidable legal resolution; the settlement amount reflects the actual cost of the regulatory and human harm caused; NS did not admit liability or wrongdoing in either settlement</t>
  </si>
  <si>
    <t>The single most directly responsive operational measure — addresses the proximate cause (HBD threshold too high, communication protocol inadequate) rather than the systemic causes</t>
  </si>
  <si>
    <t>Essential for community trust restoration and for identifying any long-term health effects of vinyl chloride exposure; also required under EPA consent decree</t>
  </si>
  <si>
    <t>Addresses the 1-hour gap before East Palestine firefighters knew what was on the train; a 24/7 response centre with real-time train manifests closes this information gap for all future incidents</t>
  </si>
  <si>
    <t>This decision was taken but should not have been — blocking safety legislation after an accident that caused $2.2B in costs and contaminated 16 states was strategically and ethically wrong; the FRA subsequently confirmed the changes did not lead to meaningful safety improvement</t>
  </si>
  <si>
    <t>Necessary but insufficient — leadership change signals accountability but structural safety reforms (HBD standards, hazmat classification, first responder information systems) require regulatory action beyond individual company decisions</t>
  </si>
  <si>
    <t>Addresses the direct municipal costs borne by the village; part of a multi-track legal resolution across federal, class action and municipal claims</t>
  </si>
  <si>
    <t>Very High (all costs)</t>
  </si>
  <si>
    <t>Reduced (immediate)</t>
  </si>
  <si>
    <t>7 days</t>
  </si>
  <si>
    <t>15 months</t>
  </si>
  <si>
    <t>Partially improved</t>
  </si>
  <si>
    <t>High (&gt;$200M)</t>
  </si>
  <si>
    <t>Protected (future)</t>
  </si>
  <si>
    <t>High (ongoing)</t>
  </si>
  <si>
    <t>Low (lobbying)</t>
  </si>
  <si>
    <t>Maintained (risk)</t>
  </si>
  <si>
    <t>2 years</t>
  </si>
  <si>
    <t>Community closure</t>
  </si>
  <si>
    <t>Mandatory chemical manifest to first responders within 15 minutes of any derailment</t>
  </si>
  <si>
    <t>Lower hot box detector alarm thresholds — evidence-based national standard</t>
  </si>
  <si>
    <t>Mandatory hazmat classification for any train carrying Class 3 or Class 6 chemicals above threshold volumes</t>
  </si>
  <si>
    <t>Chemical manufacturer direct notification protocol for emergency decisions</t>
  </si>
  <si>
    <t>Real-time wayside detector network with public data access</t>
  </si>
  <si>
    <t>Mandatory 2-person crew requirement for trains carrying hazardous materials</t>
  </si>
  <si>
    <t>Federal regulation requiring railroad operators to transmit complete hazardous material manifest to all local emergency responders within 15 minutes of any derailment — via standardised digital system accessible on smartphones without app registration</t>
  </si>
  <si>
    <t>NTSB and FRA establish a national, evidence-based standard for HBD alarm thresholds and mandatory crew communication protocols — so that a bearing overheating for 20 miles is flagged in time to stop the train, regardless of which railroad operates the line</t>
  </si>
  <si>
    <t>Revise hazmat train classification to apply to any train carrying hazardous chemicals above defined threshold volumes — regardless of percentage of total train composition; eliminates the exemption that allowed 11 hazmat cars to travel without hazmat protocols</t>
  </si>
  <si>
    <t>Establish a mandatory protocol requiring railroads to contact the chemical manufacturer's emergency response team and obtain their written safety assessment before conducting any controlled burn, vent or deliberate release of hazardous cargo</t>
  </si>
  <si>
    <t>Expand the national network of wayside detection systems (hot box, acoustic bearing, wheel impact) and make aggregate safety data publicly available — allowing researchers, regulators and communities to monitor rail safety patterns near their locations</t>
  </si>
  <si>
    <t>Require a minimum 2-person crew on all trains carrying hazardous materials — specifically to ensure one person is dedicated to monitoring wayside detector alerts, emergency communications and hazmat protocols while the other focuses on train control</t>
  </si>
  <si>
    <t>Low (regulatory + technology)</t>
  </si>
  <si>
    <t>Medium (detector installation + protocols)</t>
  </si>
  <si>
    <t>Low (regulatory reclassification)</t>
  </si>
  <si>
    <t>Low (protocol + contact registry)</t>
  </si>
  <si>
    <t>High (infrastructure investment)</t>
  </si>
  <si>
    <t>High (labour cost for railroads)</t>
  </si>
  <si>
    <t>Long (national network)</t>
  </si>
  <si>
    <t>Long (contract negotiation)</t>
  </si>
  <si>
    <t>The 1-hour information gap at East Palestine — where firefighters did not know what was on the train — was entirely preventable with a mandatory immediate notification system; this is the first responder equivalent of the AskRail improvement but mandatory rather than optional</t>
  </si>
  <si>
    <t>The bearing was on fire for 20 miles; the detector measured it; the threshold was too high; the crew was not alerted — all three failures require regulatory standards, not company discretion; NTSB recommended this; the Railway Safety Act 2023 included it but stalled</t>
  </si>
  <si>
    <t>The East Palestine train carried 11 cars of hazardous chemicals but was not classified as a hazmat train; closing this classification loophole immediately applies the relevant safety protocols — first responder notification, placarding, emergency response plans — to all trains carrying significant hazmat volumes</t>
  </si>
  <si>
    <t>OxyChem told NS the vinyl chloride cars were NOT at risk of explosion; NS did not pass this to the fire chief who authorised the burn. A mandatory manufacturer-consultation protocol before any controlled release would have prevented the burn and most of the subsequent contamination</t>
  </si>
  <si>
    <t>The FRA reported that railroads added hundreds of detectors after East Palestine but the changes did not lead to meaningful improvement in the industry's safety record — suggesting the problem is threshold calibration and data communication, not detector density; public data access adds external accountability</t>
  </si>
  <si>
    <t>The East Palestine derailment demonstrates that crew monitoring of HBD alerts was inadequate — with a 2-person crew, dedicated hazmat monitoring becomes feasible; Railway Safety Act 2023 included this requirement but stalled due to railroad and Republican opposition</t>
  </si>
  <si>
    <t>Normal (pre-derailment rail operation)</t>
  </si>
  <si>
    <t>Low (cheapest bulk transport)</t>
  </si>
  <si>
    <t>2-5 days (IL→PA)</t>
  </si>
  <si>
    <t>Low (efficient vs truck)</t>
  </si>
  <si>
    <t>High (unrecog. HBD threshold)</t>
  </si>
  <si>
    <t>n/a (transit only)</t>
  </si>
  <si>
    <t>High (reliable chemical supply)</t>
  </si>
  <si>
    <t>Positive (vs truck)</t>
  </si>
  <si>
    <t>Derailment + unnecessary controlled burn</t>
  </si>
  <si>
    <t>N/A (cargo destroyed)</t>
  </si>
  <si>
    <t>Total loss (38 cars)</t>
  </si>
  <si>
    <t>Fully Realised</t>
  </si>
  <si>
    <t>Very Negative (16 states)</t>
  </si>
  <si>
    <t>Remediation phase (2023-2025)</t>
  </si>
  <si>
    <t>$2.2B and counting</t>
  </si>
  <si>
    <t>Ongoing (years of cleanup)</t>
  </si>
  <si>
    <t>High (remediation equipment)</t>
  </si>
  <si>
    <t>Low (ongoing health concern)</t>
  </si>
  <si>
    <t>Negative (contamination ongoing)</t>
  </si>
  <si>
    <t>With structural reforms (dec. 11-16)</t>
  </si>
  <si>
    <t>Low (standard rail)</t>
  </si>
  <si>
    <t>2-5 days (normal)</t>
  </si>
  <si>
    <t>Low (efficient)</t>
  </si>
  <si>
    <t>Protected (community)</t>
  </si>
  <si>
    <t xml:space="preserve">Disruption </t>
  </si>
  <si>
    <t>Industries Affected &amp; Top 3 Companies Per Industry</t>
  </si>
  <si>
    <t>Industry</t>
  </si>
  <si>
    <t>Company</t>
  </si>
  <si>
    <t>Role in the Crisis</t>
  </si>
  <si>
    <t>Direct Loss / Financial Impact</t>
  </si>
  <si>
    <t>Lead Time Impact</t>
  </si>
  <si>
    <t>Risk Level</t>
  </si>
  <si>
    <t>Recovery Time</t>
  </si>
  <si>
    <t>Key Vulnerability</t>
  </si>
  <si>
    <t>1. Shipping &amp; Logistics</t>
  </si>
  <si>
    <t>Maersk Line
(Denmark)</t>
  </si>
  <si>
    <t>Evergreen Marine
(Taiwan)</t>
  </si>
  <si>
    <t>Hapag-Lloyd
(Germany)</t>
  </si>
  <si>
    <t>World's largest container carrier; heavy cargo volumes on Asia-Europe Suez route; vessels stranded at both canal ends</t>
  </si>
  <si>
    <t>Operator of the Ever Given itself; entire Asia-Europe fleet schedule disrupted; reputational exposure as the named operator</t>
  </si>
  <si>
    <t>Europe's largest container carrier; major Asia-Europe Suez volumes; had to reroute and manage shipper claims for delayed cargo</t>
  </si>
  <si>
    <t>~$89M direct loss (Univ. Gothenburg, 2025); rerouting cost ~$1M extra fuel per vessel via Cape of Good Hope; fleet schedule disrupted for 90 days post-unblocking</t>
  </si>
  <si>
    <t>Liability exposure via UK P&amp;I Club; General Average declared April 2021 (est. ~$500M); legal dispute with SCA (initially $916M claim); Ever Given detained 106 days</t>
  </si>
  <si>
    <t>Freight rate windfall short-term: Shanghai Containerized Freight Index +400% to $10,000/FEU; offset by rerouting costs (~$1M/vessel) and customer compensation claims</t>
  </si>
  <si>
    <t>+10–14 days per voyage (Africa reroute); vessel bunching at Rotterdam &amp; Hamburg for 90 days post-blockage</t>
  </si>
  <si>
    <t>Ever Given detained in Egypt 106 days; cargo aboard (~18,000 TEU) could not reach Rotterdam until July 2021 (4 months late)</t>
  </si>
  <si>
    <t>+10–14 days (Africa reroute); cascading port congestion at Hamburg and Rotterdam for 90 days created further schedule compression</t>
  </si>
  <si>
    <t>HIGH — Realised; schedule reliability collapsed across all Asia-Europe trade lanes</t>
  </si>
  <si>
    <t>VERY HIGH — Evergreen was the operating company of the grounded vessel; direct legal and reputational exposure</t>
  </si>
  <si>
    <t>MEDIUM-HIGH — Short-term rate windfall but long-term schedule and customer relationship damage</t>
  </si>
  <si>
    <t>3–4 weeks for port backlog to clear; schedule normalisation took 2–3 months</t>
  </si>
  <si>
    <t>106-day legal detention before settlement; fleet schedule disruption lasted months</t>
  </si>
  <si>
    <t>3–4 weeks acute phase; residual port congestion cleared by June–July 2021</t>
  </si>
  <si>
    <t>Single-lane canal = zero redundancy; one blocked ship stops 100% of both-direction traffic</t>
  </si>
  <si>
    <t>Mega-ship (400m) transiting a single-lane canal (265m wide) = structural geometric incompatibility; one incident stops everything</t>
  </si>
  <si>
    <t>Asia-Europe trade lane concentration; no alternative routing at equivalent cost or transit time</t>
  </si>
  <si>
    <t>2. Retail / Consumer Goods</t>
  </si>
  <si>
    <t>IKEA
(Sweden)</t>
  </si>
  <si>
    <t>Inditex / Zara
(Spain)</t>
  </si>
  <si>
    <t>H&amp;M
(Sweden)</t>
  </si>
  <si>
    <t>Confirmed cargo on stranded vessels; spring product range held up at both canal entrances; one of the most explicitly named affected retailers</t>
  </si>
  <si>
    <t>Europe's largest fast-fashion retailer; spring/summer seasonal inventory from Asian factories (Bangladesh, India, China) all funnelled through Suez route</t>
  </si>
  <si>
    <t>Second-largest global fashion retailer; spring 2021 inventory from Bangladesh, India, China all routed through Suez; absorbed higher freight costs through Q2 2021 margin</t>
  </si>
  <si>
    <t>£1.3B UK retail industry losses Q2 2021; IKEA-specific: spring product availability gaps across European stores; airfreight activated for urgent items at 5–10× sea freight cost</t>
  </si>
  <si>
    <t>Spring 2021 seasonal collection deliveries delayed; March is the peak delivery window for spring goods; permanent revenue loss on late-arriving seasonal items; elevated airfreight costs to recover critical lines</t>
  </si>
  <si>
    <t>Spring 2021 European inventory shortages; higher freight costs absorbed into Q2 2021 margins — contributing to margin pressure on top of existing COVID-19 disruptions; stock shortages at European stores</t>
  </si>
  <si>
    <t>Spring 2021 range arrivals delayed weeks; European store inventory constrained through Q2 2021</t>
  </si>
  <si>
    <t>Critical spring selling window missed or compressed; design-to-shelf lead time (Zara: 2–3 weeks) rendered irrelevant if goods are stuck on ships</t>
  </si>
  <si>
    <t>Spring season delivery delays across all European markets; Q2 2021 inventory availability affected across all product categories</t>
  </si>
  <si>
    <t>HIGH — Spring goods have hard selling deadlines; late arrival = permanent markdown or destruction, not rescheduled revenue</t>
  </si>
  <si>
    <t>HIGH — Fast fashion seasonal windows are the tightest in retail; Zara's proximity-sourcing model partially buffered the impact vs pure Asia-sourced competitors</t>
  </si>
  <si>
    <t>HIGH — H&amp;M operates a pure buy-ahead seasonal model; late spring goods cannot be sold at full price</t>
  </si>
  <si>
    <t>3–6 months to normalise inventory; spring season revenue partially permanently lost (seasonal goods cannot be carried to next year)</t>
  </si>
  <si>
    <t>3–6 months; Inditex's proximity sourcing (Turkey, Morocco, Portugal) provided partial buffer vs other retailers</t>
  </si>
  <si>
    <t>Q3 2021 largely normalised; Q2 2021 margin impacted by combination of freight cost and lost-season inventory</t>
  </si>
  <si>
    <t>JIT seasonal inventory with hard deadlines; zero buffer; March arrival window is permanent — missing it = 50% markdown or stock destruction</t>
  </si>
  <si>
    <t>Seasonal goods can't be sold next year; 50%+ of Zara's Asian sourcing transits Suez; no viable alternative route at the required speed</t>
  </si>
  <si>
    <t>Pure JIT seasonal buy-ahead model with no buffer; all Asian sourcing (80%+ of H&amp;M supply base) transits Suez</t>
  </si>
  <si>
    <t>3. Automotive Manufacturing</t>
  </si>
  <si>
    <t>Volkswagen Group
(Germany)</t>
  </si>
  <si>
    <t>Toyota Motor
(Japan)</t>
  </si>
  <si>
    <t>BMW Group
(Germany)</t>
  </si>
  <si>
    <t>Germany's largest automaker (VW, Audi, Porsche, SEAT, Škoda); JIT assembly plants depend on daily Asian component delivery; also exports European luxury cars to China via Suez</t>
  </si>
  <si>
    <t>World's largest automaker; Asian components to European plants and European-built vehicles to Asian markets both transit Suez Canal</t>
  </si>
  <si>
    <t>Premium OEM (BMW, MINI, Rolls-Royce); significant Asia-Europe component flows and finished vehicle exports to China; Moody's specifically cited European car parts suppliers as most affected</t>
  </si>
  <si>
    <t>Factory shutdowns at VW and Audi plants; at least 1.2M vehicles lost across industry; compound crisis: already losing $210B to semiconductor chip shortage; Suez added further JIT component delays on top</t>
  </si>
  <si>
    <t>Auto production drop in Q1 2021 quarter; Toyota's post-Fukushima chip buffer (2–6 months) partially insulated against chip shortage but does not cover wiring harnesses/mechanical components also on stranded vessels</t>
  </si>
  <si>
    <t>Component delays for Munich, Leipzig and Regensburg plants; BMW Steyr engine plant in Austria impacted; finished BMW vehicles to China and Southeast Asia markets delayed; emergency airfreight for critical components at very high cost</t>
  </si>
  <si>
    <t>Assembly line stoppage — JIT means ONE missing component = entire line stops; eastbound: VW/Audi vehicles to China market delayed</t>
  </si>
  <si>
    <t>European plant component delays; finished vehicles (from UK Toyota Burnaston plant) for Middle East and Asia markets held at European ports or rerouted</t>
  </si>
  <si>
    <t>European assembly plant component delays; eastbound: BMW vehicles to China market delayed; Moody's: Europe's JIT car suppliers hit hardest because they "operate just-in-time supply chains"</t>
  </si>
  <si>
    <t>VERY HIGH — Compound crisis (chip shortage + Suez); JIT leaves zero buffer; one missing wiring harness stops an entire plant</t>
  </si>
  <si>
    <t>MEDIUM-HIGH — Toyota's strategic buffer (post-Fukushima) gave better resilience than peers for chips but not all components</t>
  </si>
  <si>
    <t>HIGH — Premium vehicles are sold on specific delivery promises to high-value customers; delivery delays directly impact customer satisfaction and brand perception</t>
  </si>
  <si>
    <t>Weeks-months; component backlog compounded existing chip shortage making recovery slower than standalone incidents</t>
  </si>
  <si>
    <t>4–6 weeks; Toyota recovered faster than rivals due to post-2011 supply chain resilience investments</t>
  </si>
  <si>
    <t>4–6 weeks; slightly faster than VW due to smaller absolute component volumes</t>
  </si>
  <si>
    <t>JIT with zero buffer; single sourcing of multiple components from Asian suppliers; all routed through Suez; no domestic European alternative</t>
  </si>
  <si>
    <t>Even Toyota's strategic buffers don't cover ALL component types; sole-sourced mechanical components (wiring harnesses, seals) remained vulnerable</t>
  </si>
  <si>
    <t>JIT + premium customer delivery promises = zero tolerance for delay; single-lane canal was a structural risk that BMW had not modelled in its SCRM framework</t>
  </si>
  <si>
    <t>4. Energy / Oil &amp; Gas</t>
  </si>
  <si>
    <t>Saudi Aramco
(Saudi Arabia)</t>
  </si>
  <si>
    <t>World's largest oil exporter; relies on Suez Canal to route Persian Gulf crude to European and US East Coast buyers; ~30 oil tankers waited at canal entrances</t>
  </si>
  <si>
    <t>Brent crude +6% Day 1 (to $64.30/barrel); 13 million barrels of crude delayed in waiting tankers; SCA handles ~1M barrels/day; temporary revenue per-barrel increase offset by delivery schedule disruption</t>
  </si>
  <si>
    <t>Rerouting via Cape of Good Hope adds ~20 days per voyage from Middle East Gulf to Rotterdam; committed cargoes delayed</t>
  </si>
  <si>
    <t>MEDIUM — Saudi Aramco benefited from short-term oil price spike (+6%) but faced delivery obligation disruptions for contracted European buyers</t>
  </si>
  <si>
    <t>Days-to-weeks; oil prices normalised quickly once canal reopened; tanker backlog cleared within 2 weeks</t>
  </si>
  <si>
    <t>12% of global crude transits Suez; no fully equivalent alternative routing at similar cost; Cape route adds 20 days and significant additional fuel cost</t>
  </si>
  <si>
    <t>QatarEnergy (QatarGas)
(Qatar)</t>
  </si>
  <si>
    <t>World's largest LNG exporter; major volumes of Qatari LNG to European customers routed through the Suez Canal; LNG tanker rates surged immediately</t>
  </si>
  <si>
    <t>LNG spot prices surged: JKM for May LNG assessed +13.9 cents/MMBtu on March 24; sellers raised offer levels for April and May cargoes; LNG tanker rates spiked alongside oil tanker rates</t>
  </si>
  <si>
    <t>LNG tankers unable to transit had to wait or reroute around Africa — adding 2+ weeks per voyage to European delivery; European gas buyers faced supply uncertainty</t>
  </si>
  <si>
    <t>MEDIUM — LNG price spike benefited QatarEnergy's spot revenue but disrupted contracted delivery schedules to European utilities</t>
  </si>
  <si>
    <t>1–2 weeks; LNG spot market normalised quickly once ships could transit; no long-term supply impact</t>
  </si>
  <si>
    <t>Qatari LNG is critical to European gas security; the canal is the fastest routing; Cape rerouting adds 2+ weeks creating spot market volatility and contract delivery risk</t>
  </si>
  <si>
    <t>BP
(United Kingdom)</t>
  </si>
  <si>
    <t>Major integrated oil and gas company; significant petroleum product and crude flows through Suez both directions (naphtha to Asia; jet fuel and diesel to Europe from Asia and Middle East)</t>
  </si>
  <si>
    <t>Refined product shipments (jet fuel, diesel) from Persian Gulf and India to Europe delayed by up to 1 week; naphtha flows from Europe to Asia disrupted; oil price volatility created hedging position exposure</t>
  </si>
  <si>
    <t>Refined product flows delayed up to 1 week; both eastbound (Europe → Asia naphtha) and westbound (Middle East → Europe jet/diesel) disrupted simultaneously</t>
  </si>
  <si>
    <t>MEDIUM — BP's trading operations managed both directions of disruption; commodity price volatility created short-term P&amp;L uncertainty</t>
  </si>
  <si>
    <t>1–2 weeks for product flows to normalise; hedging positions resettled as oil prices stabilised</t>
  </si>
  <si>
    <t>Suez handles 1M barrels/day including refined products; BP's bi-directional product flows mean any Suez closure disrupts BOTH its European supply and its Asian sales simultaneously</t>
  </si>
  <si>
    <t>5. Agriculture &amp; Food</t>
  </si>
  <si>
    <t>Nestlé
(Switzerland)</t>
  </si>
  <si>
    <t>Cargill
(USA)</t>
  </si>
  <si>
    <t>Louis Dreyfus Company
(Netherlands)</t>
  </si>
  <si>
    <t>World's largest food company; imports coffee (Vietnam/Indonesia), cocoa (West Africa), palm oil (Southeast Asia) to European factories; exports to Middle East and African markets through Suez</t>
  </si>
  <si>
    <t>World's largest agricultural commodities trader; major grain, oilseed and agricultural input volumes transit Suez in both directions; food security-critical grain to MENA region</t>
  </si>
  <si>
    <t>One of world's largest agricultural merchants; handles grain exports from Ukraine, Russia and Europe to Asian and Middle Eastern markets; bulk vessel operations held at both canal entrances</t>
  </si>
  <si>
    <t>Raw material inventory drawdown at European factories; coffee supply chains from Vietnam and Indonesia to European processing plants disrupted; Middle East and African market shipments delayed; commodity procurement uncertainty compounded COVID-19 volatility</t>
  </si>
  <si>
    <t>Grain shipments from Europe and Black Sea to Middle East and North Africa delayed — food-security critical for Egypt, Lebanon, Jordan, Yemen; agricultural commodity prices spiked short-term; empty container shortage disrupted packaged agricultural product supply chains</t>
  </si>
  <si>
    <t>Bulk vessel grain shipments to Egypt and Gulf states held at both canal entrances; agricultural freight rates surged alongside container rates; Middle East food importers faced delivery uncertainty; trading margin squeeze from freight cost spike</t>
  </si>
  <si>
    <t>Raw material (coffee, cocoa, palm oil) delivery delays to European factories; finished product delays to Middle East and African markets</t>
  </si>
  <si>
    <t>Grain shipments to MENA delayed; agricultural commodity (wheat, corn, soybeans) prices experienced short-term spikes from supply uncertainty</t>
  </si>
  <si>
    <t>Grain vessel queues at both canal entrances; Middle East and North African food importers facing delivery uncertainty for essential staples</t>
  </si>
  <si>
    <t>HIGH — Nestlé specifically named as among the most impacted food companies; factory input supply disruption for continuous-production food facilities is operationally critical</t>
  </si>
  <si>
    <t>HIGH — Agricultural commodity flows to MENA countries are food-security critical; even short delays create national food import anxiety and emergency purchasing behaviour</t>
  </si>
  <si>
    <t>HIGH — Agricultural trading firms operate on thin margins; freight rate spikes and delivery obligation disruptions directly hit trading profitability</t>
  </si>
  <si>
    <t>4–6 weeks; raw material buffer stocks (Nestlé typically holds 4–8 weeks of ingredients) provided partial protection</t>
  </si>
  <si>
    <t>2–3 weeks; bulk vessel rerouting around Africa added cost but maintained physical grain flow; price spikes normalised once canal reopened</t>
  </si>
  <si>
    <t>2–3 weeks; bulk vessel operations normalised faster than containers as backlog priority was given to tankers and bulk carriers</t>
  </si>
  <si>
    <t>European factories depend on continuous ingredient supply via Suez; Middle East is a major Nestlé export market; dual-direction disruption (inbound ingredients + outbound products) simultaneously</t>
  </si>
  <si>
    <t>MENA countries import 50-70% of food via Suez route; any disruption creates food security anxiety; grain cannot be airfreighted; only alternative is Cape reroute (+2 weeks)</t>
  </si>
  <si>
    <t>Grain cannot be expedited by air; only alternative is Cape reroute adding 2+ weeks and significant cost; MENA food import dependency creates inelastic demand regardless of delay</t>
  </si>
  <si>
    <t>6. Pharmaceuticals &amp; Healthcare</t>
  </si>
  <si>
    <t>Pfizer
(USA)</t>
  </si>
  <si>
    <t>Roche
(Switzerland)</t>
  </si>
  <si>
    <t>Fresenius / Fresenius Kabi
(Germany)</t>
  </si>
  <si>
    <t>World's largest pharmaceutical company; manufactures APIs in Asia; ships finished medicines and COVID-19 vaccines globally; cold-chain shipments particularly vulnerable to extended transit delays</t>
  </si>
  <si>
    <t>World's largest diagnostics and oncology pharmaceutical company; significant raw material imports from Asia and finished medicine exports to Middle East and African markets globally</t>
  </si>
  <si>
    <t>Major manufacturer of generic injectable medicines, clinical nutrition and medical devices; significant pharmaceutical and medical device supply flows across Suez route in both directions</t>
  </si>
  <si>
    <t>Medical equipment and pharmaceutical supply delays; cold-chain vaccine/biologic shipments face integrity risk with each extra day of delay; in March 2021, Pfizer was simultaneously ramping COVID-19 vaccine production — any supply chain disruption compounded existing pressure</t>
  </si>
  <si>
    <t>Diagnostic reagents and APIs sourced from Asian suppliers held up in stranded containers; cancer medicines to Middle East and African hospital distributors delayed; Roche's JIT manufacturing model left minimal buffer for ingredient supply disruptions</t>
  </si>
  <si>
    <t>Generic injectable medicines and IV solutions for Middle East and African markets delayed; medical device components from Asia for European assembly held in stranded vessels; cross-regional supply chain disruption</t>
  </si>
  <si>
    <t>Cold-chain pharmaceutical shipments face temperature-integrity risk per extra day of transit; API delivery delays from Asian manufacturers to European plants</t>
  </si>
  <si>
    <t>API delivery delays from Asian suppliers to Swiss/European manufacturing plants; finished oncology medicines to Middle East market delayed</t>
  </si>
  <si>
    <t>Injectable medicine deliveries to Middle East market delayed; medical device component flows from Asia to European assembly plants disrupted</t>
  </si>
  <si>
    <t>HIGH — Patient supply criticality; cold-chain biologics cannot be stockpiled easily; COVID-19 vaccine production ramp made any supply disruption particularly consequential in March 2021</t>
  </si>
  <si>
    <t>HIGH — Cancer medicine delays to hospital distributors have direct patient care implications; Roche's premium oncology products are often irreplaceable in their therapeutic category</t>
  </si>
  <si>
    <t>HIGH — Generic injectable medicines (IV solutions, antibiotics) are hospital-critical; even short supply disruptions create hospital procurement anxiety and emergency purchasing</t>
  </si>
  <si>
    <t>Variable — cold-chain shipments have narrow recovery windows; some cargo may have required replacement rather than delayed delivery</t>
  </si>
  <si>
    <t>Weeks; Roche's strategic API buffer stocks (typically 4–8 weeks) provided partial protection; Middle East distribution normalised within 3–4 weeks of canal reopening</t>
  </si>
  <si>
    <t>3–4 weeks; generic medicine supply normalised as canal backlog cleared; Fresenius activated alternative routing for highest-priority hospital supplies</t>
  </si>
  <si>
    <t>Cold-chain containers in short supply globally (COVID-19 vaccine demand); any delay risks temperature excursion; pharmaceuticals cannot be airfreighted economically at scale</t>
  </si>
  <si>
    <t>Oncology medicines are irreplaceable — no therapeutic substitute; API concentration in China and India plus Suez routing creates a two-point single-source vulnerability</t>
  </si>
  <si>
    <t>IV medicines and clinical nutrition cannot be easily substituted; hospital procurement is inelastic to price; medical device component concentration in Asia + Suez routing = structural vulnerability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</si>
</sst>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charset val="1"/>
    </font>
    <font>
      <sz val="11"/>
      <name val="Calibri"/>
      <family val="2"/>
      <charset val="1"/>
    </font>
    <font>
      <b/>
      <sz val="11"/>
      <name val="Calibri"/>
      <family val="2"/>
      <charset val="1"/>
    </font>
    <font>
      <b/>
      <sz val="11"/>
      <color theme="1"/>
      <name val="Calibri"/>
      <family val="2"/>
      <charset val="1"/>
    </font>
    <font>
      <sz val="10"/>
      <name val="Calibri"/>
      <family val="2"/>
      <charset val="1"/>
    </font>
    <font>
      <sz val="10"/>
      <name val="Calibri"/>
      <family val="2"/>
    </font>
    <font>
      <b/>
      <sz val="10"/>
      <name val="Calibri"/>
      <family val="2"/>
      <charset val="1"/>
    </font>
    <font>
      <sz val="9"/>
      <name val="Calibri"/>
      <family val="2"/>
      <charset val="1"/>
    </font>
    <font>
      <b/>
      <sz val="12"/>
      <name val="Calibri"/>
      <family val="2"/>
      <charset val="1"/>
    </font>
    <font>
      <b/>
      <sz val="10"/>
      <name val="Calibri"/>
      <family val="2"/>
    </font>
    <font>
      <sz val="9"/>
      <name val="Calibri"/>
      <family val="2"/>
    </font>
    <font>
      <b/>
      <sz val="12"/>
      <name val="Calibri"/>
      <family val="2"/>
    </font>
    <font>
      <sz val="8"/>
      <name val="Aptos Narrow"/>
      <family val="2"/>
      <charset val="1"/>
    </font>
    <font>
      <b/>
      <sz val="11"/>
      <color theme="1"/>
      <name val="Calibri"/>
      <family val="2"/>
    </font>
    <font>
      <b/>
      <sz val="10"/>
      <color theme="1"/>
      <name val="Calibri"/>
      <family val="2"/>
    </font>
    <font>
      <b/>
      <sz val="9"/>
      <color theme="1"/>
      <name val="Calibri"/>
      <family val="2"/>
    </font>
    <font>
      <sz val="9"/>
      <color theme="1"/>
      <name val="Calibri"/>
      <family val="2"/>
    </font>
  </fonts>
  <fills count="8">
    <fill>
      <patternFill patternType="none"/>
    </fill>
    <fill>
      <patternFill patternType="gray125"/>
    </fill>
    <fill>
      <patternFill patternType="solid">
        <fgColor rgb="FFEEEEEE"/>
        <bgColor rgb="FFDDDDDD"/>
      </patternFill>
    </fill>
    <fill>
      <patternFill patternType="solid">
        <fgColor rgb="FFCCCCCC"/>
        <bgColor rgb="FFD9D9D9"/>
      </patternFill>
    </fill>
    <fill>
      <patternFill patternType="solid">
        <fgColor rgb="FFDDDDDD"/>
        <bgColor rgb="FFD9D9D9"/>
      </patternFill>
    </fill>
    <fill>
      <patternFill patternType="solid">
        <fgColor theme="0" tint="-0.14999847407452621"/>
        <bgColor rgb="FFDDDDDD"/>
      </patternFill>
    </fill>
    <fill>
      <patternFill patternType="solid">
        <fgColor theme="2" tint="-9.9978637043366805E-2"/>
        <bgColor indexed="64"/>
      </patternFill>
    </fill>
    <fill>
      <patternFill patternType="solid">
        <fgColor theme="2" tint="-9.9978637043366805E-2"/>
        <bgColor rgb="FFD9D9D9"/>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style="hair">
        <color auto="1"/>
      </left>
      <right style="hair">
        <color auto="1"/>
      </right>
      <top/>
      <bottom style="hair">
        <color auto="1"/>
      </bottom>
      <diagonal/>
    </border>
    <border>
      <left style="thin">
        <color rgb="FF9AA7BD"/>
      </left>
      <right style="thin">
        <color rgb="FF9AA7BD"/>
      </right>
      <top style="thin">
        <color rgb="FF9AA7BD"/>
      </top>
      <bottom style="thin">
        <color rgb="FF9AA7BD"/>
      </bottom>
      <diagonal/>
    </border>
    <border>
      <left/>
      <right style="thin">
        <color auto="1"/>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9AA7BD"/>
      </left>
      <right style="thin">
        <color rgb="FF9AA7BD"/>
      </right>
      <top style="thin">
        <color rgb="FF9AA7BD"/>
      </top>
      <bottom/>
      <diagonal/>
    </border>
    <border>
      <left style="thin">
        <color auto="1"/>
      </left>
      <right style="thin">
        <color auto="1"/>
      </right>
      <top/>
      <bottom style="thin">
        <color auto="1"/>
      </bottom>
      <diagonal/>
    </border>
    <border>
      <left/>
      <right/>
      <top style="thin">
        <color auto="1"/>
      </top>
      <bottom style="thin">
        <color auto="1"/>
      </bottom>
      <diagonal/>
    </border>
  </borders>
  <cellStyleXfs count="1">
    <xf numFmtId="0" fontId="0" fillId="0" borderId="0"/>
  </cellStyleXfs>
  <cellXfs count="101">
    <xf numFmtId="0" fontId="0" fillId="0" borderId="0" xfId="0"/>
    <xf numFmtId="0" fontId="4" fillId="0" borderId="1" xfId="0" applyFont="1" applyBorder="1" applyAlignment="1">
      <alignment horizontal="center" vertical="top" wrapText="1"/>
    </xf>
    <xf numFmtId="0" fontId="1" fillId="0" borderId="1" xfId="0" applyFont="1" applyBorder="1" applyAlignment="1">
      <alignment horizontal="left" vertical="top" wrapText="1"/>
    </xf>
    <xf numFmtId="0" fontId="4" fillId="0" borderId="1" xfId="0" applyFont="1" applyBorder="1" applyAlignment="1">
      <alignment horizontal="left" vertical="top" wrapText="1"/>
    </xf>
    <xf numFmtId="0" fontId="7" fillId="0" borderId="1" xfId="0" applyFont="1" applyBorder="1" applyAlignment="1">
      <alignment horizontal="left" vertical="top" wrapText="1"/>
    </xf>
    <xf numFmtId="0" fontId="1" fillId="0" borderId="0" xfId="0" applyFont="1" applyAlignment="1">
      <alignment horizontal="left" vertical="top" wrapText="1"/>
    </xf>
    <xf numFmtId="0" fontId="2" fillId="2" borderId="1" xfId="0" applyFont="1" applyFill="1" applyBorder="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vertical="top"/>
    </xf>
    <xf numFmtId="0" fontId="5" fillId="0" borderId="1" xfId="0" applyFont="1" applyBorder="1" applyAlignment="1">
      <alignment vertical="top" wrapText="1"/>
    </xf>
    <xf numFmtId="0" fontId="5" fillId="0" borderId="0" xfId="0" applyFont="1" applyAlignment="1">
      <alignment vertical="top" wrapText="1"/>
    </xf>
    <xf numFmtId="0" fontId="1" fillId="0" borderId="0" xfId="0" applyFont="1"/>
    <xf numFmtId="0" fontId="4" fillId="0" borderId="0" xfId="0" applyFont="1" applyAlignment="1">
      <alignment vertical="top" wrapText="1"/>
    </xf>
    <xf numFmtId="0" fontId="4" fillId="0" borderId="0" xfId="0" applyFont="1"/>
    <xf numFmtId="0" fontId="6" fillId="0" borderId="1" xfId="0" applyFont="1" applyBorder="1" applyAlignment="1">
      <alignment vertical="top" wrapText="1"/>
    </xf>
    <xf numFmtId="0" fontId="8" fillId="0" borderId="0" xfId="0" applyFont="1" applyAlignment="1">
      <alignment vertical="top" wrapText="1"/>
    </xf>
    <xf numFmtId="0" fontId="6" fillId="0" borderId="0" xfId="0" applyFont="1" applyAlignment="1">
      <alignment vertical="top" wrapText="1"/>
    </xf>
    <xf numFmtId="0" fontId="6" fillId="0" borderId="0" xfId="0" applyFont="1" applyAlignment="1">
      <alignment horizontal="center" vertical="center" wrapText="1"/>
    </xf>
    <xf numFmtId="0" fontId="4" fillId="0" borderId="0" xfId="0" applyFont="1" applyAlignment="1">
      <alignment horizontal="center" vertical="center" wrapText="1"/>
    </xf>
    <xf numFmtId="0" fontId="7" fillId="0" borderId="0" xfId="0" applyFont="1" applyAlignment="1">
      <alignment horizontal="left" vertical="top" wrapText="1"/>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vertical="top" wrapText="1"/>
    </xf>
    <xf numFmtId="0" fontId="6" fillId="4" borderId="1" xfId="0" applyFont="1" applyFill="1" applyBorder="1" applyAlignment="1">
      <alignment horizontal="left" vertical="top" wrapText="1"/>
    </xf>
    <xf numFmtId="0" fontId="6" fillId="4" borderId="1" xfId="0" applyFont="1" applyFill="1" applyBorder="1" applyAlignment="1">
      <alignment vertical="top" wrapText="1"/>
    </xf>
    <xf numFmtId="0" fontId="4" fillId="0" borderId="5" xfId="0" applyFont="1" applyBorder="1" applyAlignment="1">
      <alignment horizontal="left" vertical="top" wrapText="1"/>
    </xf>
    <xf numFmtId="0" fontId="4" fillId="0" borderId="1" xfId="0" applyFont="1" applyBorder="1" applyAlignment="1">
      <alignment wrapText="1"/>
    </xf>
    <xf numFmtId="0" fontId="4" fillId="0" borderId="6" xfId="0" applyFont="1" applyBorder="1" applyAlignment="1">
      <alignment vertical="top"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4" fillId="0" borderId="0" xfId="0" applyFont="1" applyAlignment="1">
      <alignment vertical="center" wrapText="1"/>
    </xf>
    <xf numFmtId="0" fontId="1" fillId="0" borderId="0" xfId="0" applyFont="1" applyAlignment="1">
      <alignment vertical="top" wrapText="1"/>
    </xf>
    <xf numFmtId="0" fontId="1" fillId="0" borderId="1" xfId="0" applyFont="1" applyBorder="1" applyAlignment="1">
      <alignment vertical="top" wrapText="1"/>
    </xf>
    <xf numFmtId="0" fontId="1" fillId="0" borderId="1" xfId="0" applyFont="1" applyBorder="1" applyAlignment="1">
      <alignment wrapText="1"/>
    </xf>
    <xf numFmtId="0" fontId="1" fillId="0" borderId="1" xfId="0" applyFont="1" applyBorder="1"/>
    <xf numFmtId="0" fontId="6" fillId="0" borderId="1" xfId="0" applyFont="1" applyBorder="1" applyAlignment="1">
      <alignment horizontal="left" vertical="top"/>
    </xf>
    <xf numFmtId="0" fontId="6" fillId="0" borderId="1" xfId="0" applyFont="1" applyBorder="1" applyAlignment="1">
      <alignment vertical="center" wrapText="1"/>
    </xf>
    <xf numFmtId="0" fontId="6" fillId="0" borderId="5" xfId="0" applyFont="1" applyBorder="1" applyAlignment="1">
      <alignment horizontal="left" vertical="top" wrapText="1"/>
    </xf>
    <xf numFmtId="0" fontId="1"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vertical="center" wrapText="1"/>
    </xf>
    <xf numFmtId="0" fontId="1" fillId="0" borderId="1" xfId="0" applyFont="1" applyBorder="1" applyAlignment="1">
      <alignment vertical="center" wrapText="1"/>
    </xf>
    <xf numFmtId="0" fontId="6" fillId="0" borderId="5" xfId="0" applyFont="1" applyBorder="1" applyAlignment="1">
      <alignment horizontal="center" vertical="center" wrapText="1"/>
    </xf>
    <xf numFmtId="0" fontId="1" fillId="0" borderId="0" xfId="0" applyFont="1" applyAlignment="1">
      <alignment vertical="center" wrapText="1"/>
    </xf>
    <xf numFmtId="0" fontId="4" fillId="0" borderId="1" xfId="0" applyFont="1" applyBorder="1" applyAlignment="1">
      <alignment horizontal="left" vertical="center" wrapText="1"/>
    </xf>
    <xf numFmtId="0" fontId="1" fillId="0" borderId="2" xfId="0" applyFont="1" applyBorder="1" applyAlignment="1">
      <alignment vertical="center" wrapText="1"/>
    </xf>
    <xf numFmtId="0" fontId="4" fillId="0" borderId="5" xfId="0" applyFont="1" applyBorder="1" applyAlignment="1">
      <alignment horizontal="center" vertical="center" wrapText="1"/>
    </xf>
    <xf numFmtId="0" fontId="6" fillId="0" borderId="1" xfId="0" applyFont="1" applyBorder="1" applyAlignment="1">
      <alignment horizontal="center" vertical="top" wrapText="1"/>
    </xf>
    <xf numFmtId="0" fontId="6" fillId="0" borderId="7" xfId="0" applyFont="1" applyBorder="1" applyAlignment="1">
      <alignment vertical="top" wrapText="1"/>
    </xf>
    <xf numFmtId="0" fontId="4" fillId="0" borderId="7" xfId="0" applyFont="1" applyBorder="1" applyAlignment="1">
      <alignment horizontal="center" vertical="center" wrapText="1"/>
    </xf>
    <xf numFmtId="0" fontId="4" fillId="0" borderId="8" xfId="0" applyFont="1" applyBorder="1" applyAlignment="1">
      <alignment horizontal="left" vertical="top" wrapText="1"/>
    </xf>
    <xf numFmtId="0" fontId="6" fillId="0" borderId="7"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vertical="top" wrapText="1"/>
    </xf>
    <xf numFmtId="0" fontId="1" fillId="0" borderId="4" xfId="0" applyFont="1" applyBorder="1" applyAlignment="1">
      <alignment vertical="top" wrapText="1"/>
    </xf>
    <xf numFmtId="0" fontId="9" fillId="0" borderId="0" xfId="0" applyFont="1" applyAlignment="1">
      <alignment vertical="top" wrapText="1"/>
    </xf>
    <xf numFmtId="0" fontId="11" fillId="0" borderId="0" xfId="0" applyFont="1" applyAlignment="1">
      <alignment vertical="top" wrapText="1"/>
    </xf>
    <xf numFmtId="0" fontId="6" fillId="4" borderId="1" xfId="0" applyFont="1" applyFill="1" applyBorder="1" applyAlignment="1">
      <alignment horizontal="center" vertical="top" wrapText="1"/>
    </xf>
    <xf numFmtId="0" fontId="6" fillId="4" borderId="1" xfId="0" applyFont="1" applyFill="1" applyBorder="1" applyAlignment="1">
      <alignment horizontal="center" vertical="center" wrapText="1"/>
    </xf>
    <xf numFmtId="0" fontId="6" fillId="3" borderId="1" xfId="0" applyFont="1" applyFill="1" applyBorder="1" applyAlignment="1">
      <alignment horizontal="center" vertical="top" wrapText="1"/>
    </xf>
    <xf numFmtId="0" fontId="7" fillId="0" borderId="1" xfId="0" applyFont="1" applyBorder="1" applyAlignment="1">
      <alignment horizontal="left" vertical="top" wrapText="1"/>
    </xf>
    <xf numFmtId="0" fontId="4" fillId="0" borderId="1" xfId="0" applyFont="1" applyBorder="1" applyAlignment="1">
      <alignment horizontal="left" vertical="top" wrapText="1"/>
    </xf>
    <xf numFmtId="0" fontId="1" fillId="0" borderId="3" xfId="0" applyFont="1" applyBorder="1" applyAlignment="1">
      <alignment horizontal="left" vertical="top" wrapText="1"/>
    </xf>
    <xf numFmtId="0" fontId="4" fillId="0" borderId="4" xfId="0" applyFont="1" applyBorder="1" applyAlignment="1">
      <alignment horizontal="left" vertical="top" wrapText="1"/>
    </xf>
    <xf numFmtId="0" fontId="6" fillId="3" borderId="2" xfId="0" applyFont="1" applyFill="1" applyBorder="1" applyAlignment="1">
      <alignment horizontal="center" vertical="top" wrapText="1"/>
    </xf>
    <xf numFmtId="0" fontId="1" fillId="0" borderId="1" xfId="0" applyFont="1" applyBorder="1" applyAlignment="1">
      <alignment horizontal="left" vertical="top" wrapText="1"/>
    </xf>
    <xf numFmtId="0" fontId="1" fillId="0" borderId="0" xfId="0" applyFont="1" applyAlignment="1">
      <alignment horizontal="left" vertical="center" wrapText="1"/>
    </xf>
    <xf numFmtId="0" fontId="1" fillId="0" borderId="4" xfId="0" applyFont="1" applyBorder="1" applyAlignment="1">
      <alignment horizontal="left" vertical="top" wrapText="1"/>
    </xf>
    <xf numFmtId="0" fontId="4" fillId="0" borderId="1" xfId="0" applyFont="1" applyBorder="1" applyAlignment="1">
      <alignment horizontal="center" vertical="top" wrapText="1"/>
    </xf>
    <xf numFmtId="0" fontId="9" fillId="0" borderId="1" xfId="0" applyFont="1" applyBorder="1" applyAlignment="1">
      <alignment vertical="top" wrapText="1"/>
    </xf>
    <xf numFmtId="0" fontId="6" fillId="3" borderId="3" xfId="0" applyFont="1" applyFill="1" applyBorder="1" applyAlignment="1">
      <alignment horizontal="center" vertical="top" wrapText="1"/>
    </xf>
    <xf numFmtId="0" fontId="0" fillId="0" borderId="0" xfId="0" applyFill="1" applyBorder="1"/>
    <xf numFmtId="0" fontId="9" fillId="0" borderId="1" xfId="0" applyFont="1" applyBorder="1" applyAlignment="1">
      <alignment horizontal="center" vertical="top" wrapText="1"/>
    </xf>
    <xf numFmtId="0" fontId="9" fillId="6" borderId="1" xfId="0" applyFont="1" applyFill="1" applyBorder="1" applyAlignment="1">
      <alignment horizontal="center" vertical="top" wrapText="1"/>
    </xf>
    <xf numFmtId="0" fontId="9" fillId="6" borderId="1" xfId="0" applyFont="1" applyFill="1" applyBorder="1" applyAlignment="1">
      <alignment vertical="top" wrapText="1"/>
    </xf>
    <xf numFmtId="0" fontId="5" fillId="6" borderId="1" xfId="0" applyFont="1" applyFill="1" applyBorder="1" applyAlignment="1">
      <alignment vertical="top" wrapText="1"/>
    </xf>
    <xf numFmtId="0" fontId="9" fillId="6" borderId="0" xfId="0" applyFont="1" applyFill="1" applyAlignment="1">
      <alignment vertical="top" wrapText="1"/>
    </xf>
    <xf numFmtId="0" fontId="5" fillId="0" borderId="1" xfId="0" applyFont="1" applyBorder="1"/>
    <xf numFmtId="0" fontId="9" fillId="6" borderId="3" xfId="0" applyFont="1" applyFill="1" applyBorder="1" applyAlignment="1">
      <alignment horizontal="center" vertical="top" wrapText="1"/>
    </xf>
    <xf numFmtId="0" fontId="9" fillId="6" borderId="11" xfId="0" applyFont="1" applyFill="1" applyBorder="1" applyAlignment="1">
      <alignment horizontal="center" vertical="top" wrapText="1"/>
    </xf>
    <xf numFmtId="0" fontId="9" fillId="6" borderId="8" xfId="0" applyFont="1" applyFill="1" applyBorder="1" applyAlignment="1">
      <alignment horizontal="center" vertical="top" wrapText="1"/>
    </xf>
    <xf numFmtId="0" fontId="9" fillId="0" borderId="1" xfId="0" applyFont="1" applyFill="1" applyBorder="1" applyAlignment="1">
      <alignment vertical="top" wrapText="1"/>
    </xf>
    <xf numFmtId="0" fontId="9" fillId="0" borderId="0" xfId="0" applyFont="1" applyFill="1" applyBorder="1" applyAlignment="1">
      <alignment vertical="top" wrapText="1"/>
    </xf>
    <xf numFmtId="0" fontId="5" fillId="0" borderId="1" xfId="0" applyFont="1" applyFill="1" applyBorder="1" applyAlignment="1">
      <alignment vertical="top" wrapText="1"/>
    </xf>
    <xf numFmtId="0" fontId="9" fillId="7" borderId="1" xfId="0" applyFont="1" applyFill="1" applyBorder="1" applyAlignment="1">
      <alignment horizontal="center" vertical="top" wrapText="1"/>
    </xf>
    <xf numFmtId="0" fontId="10" fillId="0" borderId="1" xfId="0" applyFont="1" applyBorder="1" applyAlignment="1">
      <alignment vertical="top" wrapText="1"/>
    </xf>
    <xf numFmtId="0" fontId="9" fillId="4" borderId="1" xfId="0" applyFont="1" applyFill="1" applyBorder="1" applyAlignment="1">
      <alignment vertical="top" wrapText="1"/>
    </xf>
    <xf numFmtId="0" fontId="10" fillId="0" borderId="1" xfId="0" applyFont="1" applyFill="1" applyBorder="1" applyAlignment="1">
      <alignment vertical="top" wrapText="1"/>
    </xf>
    <xf numFmtId="0" fontId="11" fillId="6" borderId="1" xfId="0" applyFont="1" applyFill="1" applyBorder="1" applyAlignment="1">
      <alignment horizontal="center" vertical="top" wrapText="1"/>
    </xf>
    <xf numFmtId="0" fontId="9" fillId="4" borderId="1" xfId="0" applyFont="1" applyFill="1" applyBorder="1" applyAlignment="1">
      <alignment horizontal="center" vertical="top" wrapText="1"/>
    </xf>
    <xf numFmtId="0" fontId="10" fillId="6" borderId="1" xfId="0" applyFont="1" applyFill="1" applyBorder="1" applyAlignment="1">
      <alignment vertical="top" wrapText="1"/>
    </xf>
    <xf numFmtId="0" fontId="9" fillId="7" borderId="1" xfId="0" applyFont="1" applyFill="1" applyBorder="1" applyAlignment="1">
      <alignment vertical="top" wrapText="1"/>
    </xf>
    <xf numFmtId="0" fontId="10" fillId="0" borderId="1" xfId="0" applyFont="1" applyBorder="1"/>
    <xf numFmtId="0" fontId="13" fillId="0" borderId="0" xfId="0" applyFont="1" applyAlignment="1">
      <alignment wrapText="1"/>
    </xf>
    <xf numFmtId="0" fontId="14" fillId="0" borderId="1" xfId="0" applyFont="1" applyBorder="1" applyAlignment="1">
      <alignment horizontal="center" vertical="center" wrapText="1"/>
    </xf>
    <xf numFmtId="0" fontId="16" fillId="0" borderId="1" xfId="0" applyFont="1" applyBorder="1" applyAlignment="1">
      <alignment horizontal="left" vertical="top" wrapText="1"/>
    </xf>
    <xf numFmtId="0" fontId="14" fillId="6" borderId="1" xfId="0" applyFont="1" applyFill="1" applyBorder="1" applyAlignment="1">
      <alignment horizontal="center" vertical="center" wrapText="1"/>
    </xf>
    <xf numFmtId="0" fontId="15" fillId="6" borderId="1" xfId="0" applyFont="1" applyFill="1" applyBorder="1" applyAlignment="1">
      <alignment horizontal="left" vertical="top" wrapText="1"/>
    </xf>
  </cellXfs>
  <cellStyles count="1">
    <cellStyle name="Normal" xfId="0" builtinId="0"/>
  </cellStyles>
  <dxfs count="3">
    <dxf>
      <font>
        <color rgb="FF006600"/>
        <name val="Calibri"/>
        <family val="2"/>
        <charset val="1"/>
      </font>
      <fill>
        <patternFill>
          <bgColor rgb="FFCCFFCC"/>
        </patternFill>
      </fill>
    </dxf>
    <dxf>
      <font>
        <i/>
        <color rgb="FF808080"/>
        <name val="Calibri"/>
        <family val="2"/>
        <charset val="1"/>
      </font>
    </dxf>
    <dxf>
      <font>
        <color rgb="FF996600"/>
        <name val="Calibri"/>
        <family val="2"/>
        <charset val="1"/>
      </font>
      <fill>
        <patternFill>
          <bgColor rgb="FFFFFFCC"/>
        </patternFill>
      </fill>
    </dxf>
  </dxfs>
  <tableStyles count="0" defaultTableStyle="TableStyleMedium2" defaultPivotStyle="PivotStyleLight16"/>
  <colors>
    <indexedColors>
      <rgbColor rgb="FF000000"/>
      <rgbColor rgb="FFEEEEEE"/>
      <rgbColor rgb="FFFF0000"/>
      <rgbColor rgb="FF00FF00"/>
      <rgbColor rgb="FF0000FF"/>
      <rgbColor rgb="FFFFFF00"/>
      <rgbColor rgb="FFFF00FF"/>
      <rgbColor rgb="FF00FFFF"/>
      <rgbColor rgb="FF800000"/>
      <rgbColor rgb="FF006600"/>
      <rgbColor rgb="FF000080"/>
      <rgbColor rgb="FF996600"/>
      <rgbColor rgb="FF800080"/>
      <rgbColor rgb="FF008080"/>
      <rgbColor rgb="FFCCCCCC"/>
      <rgbColor rgb="FF808080"/>
      <rgbColor rgb="FF9999FF"/>
      <rgbColor rgb="FF993366"/>
      <rgbColor rgb="FFFFFFCC"/>
      <rgbColor rgb="FFDDDDD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AA7BD"/>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topLeftCell="A16" zoomScale="64" zoomScaleNormal="42" workbookViewId="0">
      <selection activeCell="H6" sqref="H6"/>
    </sheetView>
  </sheetViews>
  <sheetFormatPr defaultColWidth="12.5546875" defaultRowHeight="14.4" x14ac:dyDescent="0.3"/>
  <cols>
    <col min="1" max="1" width="10.77734375" style="5" customWidth="1"/>
    <col min="2" max="2" width="24.5546875" style="5" customWidth="1"/>
    <col min="3" max="3" width="29.21875" style="5" customWidth="1"/>
    <col min="4" max="4" width="32.44140625" style="5" customWidth="1"/>
    <col min="5" max="5" width="28.44140625" style="5" customWidth="1"/>
    <col min="6" max="6" width="54.5546875" style="5" customWidth="1"/>
    <col min="7" max="8" width="48.5546875" style="5" customWidth="1"/>
    <col min="9" max="9" width="13" style="5" customWidth="1"/>
    <col min="10" max="10" width="15.5546875" style="5" customWidth="1"/>
    <col min="11" max="12" width="12.5546875" style="5"/>
    <col min="13" max="13" width="27.5546875" style="5" customWidth="1"/>
    <col min="14" max="14" width="49.77734375" style="5" customWidth="1"/>
    <col min="15" max="16384" width="12.5546875" style="5"/>
  </cols>
  <sheetData>
    <row r="1" spans="1:14" s="7" customFormat="1" x14ac:dyDescent="0.3">
      <c r="A1" s="6" t="s">
        <v>0</v>
      </c>
      <c r="B1" s="6" t="s">
        <v>1</v>
      </c>
      <c r="C1" s="6" t="s">
        <v>2</v>
      </c>
      <c r="D1" s="6" t="s">
        <v>3</v>
      </c>
      <c r="E1" s="6" t="s">
        <v>4</v>
      </c>
      <c r="F1" s="6" t="s">
        <v>5</v>
      </c>
      <c r="G1" s="6" t="s">
        <v>6</v>
      </c>
      <c r="H1" s="16" t="s">
        <v>138</v>
      </c>
      <c r="I1" s="6" t="s">
        <v>7</v>
      </c>
      <c r="J1" s="6" t="s">
        <v>8</v>
      </c>
      <c r="L1" s="8"/>
      <c r="M1" s="8"/>
      <c r="N1" s="8"/>
    </row>
    <row r="2" spans="1:14" ht="72" x14ac:dyDescent="0.3">
      <c r="A2" s="2" t="s">
        <v>9</v>
      </c>
      <c r="B2" s="2" t="s">
        <v>10</v>
      </c>
      <c r="C2" s="2" t="s">
        <v>11</v>
      </c>
      <c r="D2" s="2" t="s">
        <v>12</v>
      </c>
      <c r="E2" s="2" t="s">
        <v>13</v>
      </c>
      <c r="F2" s="2" t="s">
        <v>14</v>
      </c>
      <c r="G2" s="2" t="s">
        <v>15</v>
      </c>
      <c r="H2" s="2" t="s">
        <v>139</v>
      </c>
      <c r="I2" s="2" t="s">
        <v>16</v>
      </c>
      <c r="J2" s="2" t="s">
        <v>17</v>
      </c>
      <c r="L2" s="9"/>
      <c r="M2" s="9"/>
      <c r="N2" s="9"/>
    </row>
    <row r="3" spans="1:14" ht="86.25" customHeight="1" x14ac:dyDescent="0.3">
      <c r="A3" s="2" t="s">
        <v>18</v>
      </c>
      <c r="B3" s="2" t="s">
        <v>19</v>
      </c>
      <c r="C3" s="2" t="s">
        <v>20</v>
      </c>
      <c r="D3" s="2" t="s">
        <v>21</v>
      </c>
      <c r="E3" s="2" t="s">
        <v>22</v>
      </c>
      <c r="F3" s="2" t="s">
        <v>23</v>
      </c>
      <c r="G3" s="2" t="s">
        <v>24</v>
      </c>
      <c r="H3" s="2" t="s">
        <v>317</v>
      </c>
      <c r="I3" s="2" t="s">
        <v>16</v>
      </c>
      <c r="J3" s="2" t="s">
        <v>17</v>
      </c>
      <c r="L3" s="9"/>
      <c r="M3" s="9"/>
      <c r="N3" s="9"/>
    </row>
    <row r="4" spans="1:14" ht="86.25" customHeight="1" x14ac:dyDescent="0.3">
      <c r="A4" s="2" t="s">
        <v>25</v>
      </c>
      <c r="B4" s="2" t="s">
        <v>26</v>
      </c>
      <c r="C4" s="2" t="s">
        <v>27</v>
      </c>
      <c r="D4" s="2" t="s">
        <v>28</v>
      </c>
      <c r="E4" s="2" t="s">
        <v>29</v>
      </c>
      <c r="F4" s="2" t="s">
        <v>30</v>
      </c>
      <c r="G4" s="2" t="s">
        <v>31</v>
      </c>
      <c r="H4" s="2" t="s">
        <v>317</v>
      </c>
      <c r="I4" s="2" t="s">
        <v>32</v>
      </c>
      <c r="J4" s="2" t="s">
        <v>17</v>
      </c>
      <c r="L4" s="9"/>
      <c r="M4" s="9"/>
      <c r="N4" s="9"/>
    </row>
    <row r="5" spans="1:14" ht="86.25" customHeight="1" x14ac:dyDescent="0.3">
      <c r="A5" s="2" t="s">
        <v>33</v>
      </c>
      <c r="B5" s="2" t="s">
        <v>34</v>
      </c>
      <c r="C5" s="2" t="s">
        <v>35</v>
      </c>
      <c r="D5" s="2" t="s">
        <v>36</v>
      </c>
      <c r="E5" s="2" t="s">
        <v>37</v>
      </c>
      <c r="F5" s="2" t="s">
        <v>38</v>
      </c>
      <c r="G5" s="2" t="s">
        <v>39</v>
      </c>
      <c r="H5" s="2" t="s">
        <v>317</v>
      </c>
      <c r="I5" s="2" t="s">
        <v>16</v>
      </c>
      <c r="J5" s="2" t="s">
        <v>17</v>
      </c>
    </row>
    <row r="6" spans="1:14" ht="86.25" customHeight="1" x14ac:dyDescent="0.3">
      <c r="A6" s="2" t="s">
        <v>40</v>
      </c>
      <c r="B6" s="2" t="s">
        <v>41</v>
      </c>
      <c r="C6" s="3" t="s">
        <v>42</v>
      </c>
      <c r="D6" s="3" t="s">
        <v>43</v>
      </c>
      <c r="E6" s="2" t="s">
        <v>44</v>
      </c>
      <c r="F6" s="2" t="s">
        <v>45</v>
      </c>
      <c r="G6" s="2" t="s">
        <v>46</v>
      </c>
      <c r="H6" s="2" t="s">
        <v>139</v>
      </c>
      <c r="I6" s="2" t="s">
        <v>16</v>
      </c>
      <c r="J6" s="2" t="s">
        <v>17</v>
      </c>
    </row>
    <row r="7" spans="1:14" ht="86.25" customHeight="1" x14ac:dyDescent="0.3">
      <c r="A7" s="2" t="s">
        <v>47</v>
      </c>
      <c r="B7" s="10" t="s">
        <v>48</v>
      </c>
      <c r="C7" s="3" t="s">
        <v>49</v>
      </c>
      <c r="D7" s="2" t="s">
        <v>50</v>
      </c>
      <c r="E7" s="2" t="s">
        <v>51</v>
      </c>
      <c r="F7" s="2" t="s">
        <v>52</v>
      </c>
      <c r="G7" s="2" t="s">
        <v>53</v>
      </c>
      <c r="H7" s="2" t="s">
        <v>139</v>
      </c>
      <c r="I7" s="2" t="s">
        <v>16</v>
      </c>
      <c r="J7" s="2" t="s">
        <v>17</v>
      </c>
    </row>
    <row r="8" spans="1:14" ht="100.5" customHeight="1" x14ac:dyDescent="0.3">
      <c r="A8" s="2" t="s">
        <v>54</v>
      </c>
      <c r="B8" s="2" t="s">
        <v>55</v>
      </c>
      <c r="C8" s="2" t="s">
        <v>56</v>
      </c>
      <c r="D8" s="2" t="s">
        <v>57</v>
      </c>
      <c r="E8" s="2" t="s">
        <v>58</v>
      </c>
      <c r="F8" s="2" t="s">
        <v>59</v>
      </c>
      <c r="G8" s="2" t="s">
        <v>60</v>
      </c>
      <c r="H8" s="2" t="s">
        <v>139</v>
      </c>
      <c r="I8" s="2" t="s">
        <v>16</v>
      </c>
      <c r="J8" s="2" t="s">
        <v>17</v>
      </c>
    </row>
    <row r="9" spans="1:14" ht="100.5" customHeight="1" x14ac:dyDescent="0.3">
      <c r="A9" s="2" t="s">
        <v>61</v>
      </c>
      <c r="B9" s="2" t="s">
        <v>62</v>
      </c>
      <c r="C9" s="2" t="s">
        <v>63</v>
      </c>
      <c r="D9" s="2" t="s">
        <v>64</v>
      </c>
      <c r="E9" s="2" t="s">
        <v>65</v>
      </c>
      <c r="F9" s="2" t="s">
        <v>66</v>
      </c>
      <c r="G9" s="2" t="s">
        <v>67</v>
      </c>
      <c r="H9" s="2" t="s">
        <v>139</v>
      </c>
      <c r="I9" s="2" t="s">
        <v>16</v>
      </c>
      <c r="J9" s="2" t="s">
        <v>17</v>
      </c>
    </row>
    <row r="10" spans="1:14" ht="100.5" customHeight="1" x14ac:dyDescent="0.3">
      <c r="A10" s="2" t="s">
        <v>68</v>
      </c>
      <c r="B10" s="2" t="s">
        <v>48</v>
      </c>
      <c r="C10" s="2" t="s">
        <v>69</v>
      </c>
      <c r="D10" s="2" t="s">
        <v>70</v>
      </c>
      <c r="E10" s="2" t="s">
        <v>71</v>
      </c>
      <c r="F10" s="2" t="s">
        <v>72</v>
      </c>
      <c r="G10" s="2" t="s">
        <v>73</v>
      </c>
      <c r="H10" s="2" t="s">
        <v>139</v>
      </c>
      <c r="I10" s="2" t="s">
        <v>16</v>
      </c>
      <c r="J10" s="2" t="s">
        <v>17</v>
      </c>
    </row>
    <row r="11" spans="1:14" ht="100.5" customHeight="1" x14ac:dyDescent="0.3">
      <c r="A11" s="2" t="s">
        <v>74</v>
      </c>
      <c r="B11" s="2" t="s">
        <v>75</v>
      </c>
      <c r="C11" s="2" t="s">
        <v>76</v>
      </c>
      <c r="D11" s="2" t="s">
        <v>77</v>
      </c>
      <c r="E11" s="2" t="s">
        <v>78</v>
      </c>
      <c r="F11" s="2" t="s">
        <v>79</v>
      </c>
      <c r="G11" s="2" t="s">
        <v>80</v>
      </c>
      <c r="H11" s="2" t="s">
        <v>139</v>
      </c>
      <c r="I11" s="2" t="s">
        <v>16</v>
      </c>
      <c r="J11" s="2" t="s">
        <v>17</v>
      </c>
    </row>
    <row r="12" spans="1:14" ht="110.4" x14ac:dyDescent="0.3">
      <c r="A12" s="11" t="s">
        <v>81</v>
      </c>
      <c r="B12" s="11" t="s">
        <v>82</v>
      </c>
      <c r="C12" s="11" t="s">
        <v>83</v>
      </c>
      <c r="D12" s="11" t="s">
        <v>84</v>
      </c>
      <c r="E12" s="11" t="s">
        <v>85</v>
      </c>
      <c r="F12" s="11" t="s">
        <v>86</v>
      </c>
      <c r="G12" s="11" t="s">
        <v>87</v>
      </c>
      <c r="H12" s="2" t="s">
        <v>139</v>
      </c>
      <c r="I12" s="11" t="s">
        <v>16</v>
      </c>
      <c r="J12" s="11" t="s">
        <v>17</v>
      </c>
    </row>
    <row r="13" spans="1:14" ht="124.2" x14ac:dyDescent="0.3">
      <c r="A13" s="11" t="s">
        <v>88</v>
      </c>
      <c r="B13" s="11" t="s">
        <v>89</v>
      </c>
      <c r="C13" s="11" t="s">
        <v>90</v>
      </c>
      <c r="D13" s="11" t="s">
        <v>91</v>
      </c>
      <c r="E13" s="11" t="s">
        <v>92</v>
      </c>
      <c r="F13" s="11" t="s">
        <v>93</v>
      </c>
      <c r="G13" s="11" t="s">
        <v>94</v>
      </c>
      <c r="H13" s="2" t="s">
        <v>139</v>
      </c>
      <c r="I13" s="11" t="s">
        <v>16</v>
      </c>
      <c r="J13" s="11" t="s">
        <v>17</v>
      </c>
    </row>
    <row r="14" spans="1:14" ht="179.4" x14ac:dyDescent="0.3">
      <c r="A14" s="11" t="s">
        <v>95</v>
      </c>
      <c r="B14" s="11" t="s">
        <v>96</v>
      </c>
      <c r="C14" s="11" t="s">
        <v>97</v>
      </c>
      <c r="D14" s="11" t="s">
        <v>98</v>
      </c>
      <c r="E14" s="11" t="s">
        <v>99</v>
      </c>
      <c r="F14" s="11" t="s">
        <v>100</v>
      </c>
      <c r="G14" s="11" t="s">
        <v>101</v>
      </c>
      <c r="H14" s="2" t="s">
        <v>139</v>
      </c>
      <c r="I14" s="11" t="s">
        <v>16</v>
      </c>
      <c r="J14" s="11" t="s">
        <v>17</v>
      </c>
    </row>
    <row r="15" spans="1:14" ht="179.4" x14ac:dyDescent="0.3">
      <c r="A15" s="11" t="s">
        <v>102</v>
      </c>
      <c r="B15" s="11" t="s">
        <v>103</v>
      </c>
      <c r="C15" s="11" t="s">
        <v>104</v>
      </c>
      <c r="D15" s="11" t="s">
        <v>105</v>
      </c>
      <c r="E15" s="11" t="s">
        <v>106</v>
      </c>
      <c r="F15" s="11" t="s">
        <v>107</v>
      </c>
      <c r="G15" s="11" t="s">
        <v>108</v>
      </c>
      <c r="H15" s="2" t="s">
        <v>139</v>
      </c>
      <c r="I15" s="11" t="s">
        <v>16</v>
      </c>
      <c r="J15" s="11" t="s">
        <v>17</v>
      </c>
    </row>
    <row r="16" spans="1:14" ht="165.6" x14ac:dyDescent="0.3">
      <c r="A16" s="11" t="s">
        <v>109</v>
      </c>
      <c r="B16" s="11" t="s">
        <v>110</v>
      </c>
      <c r="C16" s="11" t="s">
        <v>111</v>
      </c>
      <c r="D16" s="11" t="s">
        <v>112</v>
      </c>
      <c r="E16" s="11" t="s">
        <v>113</v>
      </c>
      <c r="F16" s="11" t="s">
        <v>114</v>
      </c>
      <c r="G16" s="11" t="s">
        <v>115</v>
      </c>
      <c r="H16" s="2" t="s">
        <v>139</v>
      </c>
      <c r="I16" s="11" t="s">
        <v>16</v>
      </c>
      <c r="J16" s="11" t="s">
        <v>17</v>
      </c>
    </row>
    <row r="17" spans="1:10" ht="179.4" x14ac:dyDescent="0.3">
      <c r="A17" s="11" t="s">
        <v>116</v>
      </c>
      <c r="B17" s="11" t="s">
        <v>117</v>
      </c>
      <c r="C17" s="11" t="s">
        <v>118</v>
      </c>
      <c r="D17" s="11" t="s">
        <v>119</v>
      </c>
      <c r="E17" s="11" t="s">
        <v>120</v>
      </c>
      <c r="F17" s="11" t="s">
        <v>121</v>
      </c>
      <c r="G17" s="11" t="s">
        <v>122</v>
      </c>
      <c r="H17" s="2" t="s">
        <v>139</v>
      </c>
      <c r="I17" s="11" t="s">
        <v>16</v>
      </c>
      <c r="J17" s="11" t="s">
        <v>17</v>
      </c>
    </row>
    <row r="18" spans="1:10" ht="179.4" x14ac:dyDescent="0.3">
      <c r="A18" s="11" t="s">
        <v>123</v>
      </c>
      <c r="B18" s="11" t="s">
        <v>124</v>
      </c>
      <c r="C18" s="11" t="s">
        <v>125</v>
      </c>
      <c r="D18" s="11" t="s">
        <v>126</v>
      </c>
      <c r="E18" s="11" t="s">
        <v>127</v>
      </c>
      <c r="F18" s="11" t="s">
        <v>128</v>
      </c>
      <c r="G18" s="11" t="s">
        <v>129</v>
      </c>
      <c r="H18" s="2" t="s">
        <v>139</v>
      </c>
      <c r="I18" s="11" t="s">
        <v>16</v>
      </c>
      <c r="J18" s="11" t="s">
        <v>17</v>
      </c>
    </row>
    <row r="19" spans="1:10" ht="96.6" x14ac:dyDescent="0.3">
      <c r="A19" s="2" t="s">
        <v>3019</v>
      </c>
      <c r="B19" s="11" t="s">
        <v>3008</v>
      </c>
      <c r="C19" s="11" t="s">
        <v>3009</v>
      </c>
      <c r="D19" s="11" t="s">
        <v>3010</v>
      </c>
      <c r="E19" s="11" t="s">
        <v>3011</v>
      </c>
      <c r="F19" s="11" t="s">
        <v>3012</v>
      </c>
      <c r="G19" s="11" t="s">
        <v>3013</v>
      </c>
      <c r="H19" s="2" t="s">
        <v>139</v>
      </c>
      <c r="I19" s="11" t="s">
        <v>16</v>
      </c>
      <c r="J19" s="11" t="s">
        <v>17</v>
      </c>
    </row>
    <row r="20" spans="1:10" ht="124.2" x14ac:dyDescent="0.3">
      <c r="A20" s="2" t="s">
        <v>3020</v>
      </c>
      <c r="B20" s="11" t="s">
        <v>2881</v>
      </c>
      <c r="C20" s="11" t="s">
        <v>3014</v>
      </c>
      <c r="D20" s="11" t="s">
        <v>3015</v>
      </c>
      <c r="E20" s="11" t="s">
        <v>3016</v>
      </c>
      <c r="F20" s="11" t="s">
        <v>3017</v>
      </c>
      <c r="G20" s="11" t="s">
        <v>3018</v>
      </c>
      <c r="H20" s="2" t="s">
        <v>139</v>
      </c>
      <c r="I20" s="11" t="s">
        <v>16</v>
      </c>
      <c r="J20" s="11" t="s">
        <v>17</v>
      </c>
    </row>
    <row r="21" spans="1:10" ht="151.80000000000001" x14ac:dyDescent="0.3">
      <c r="A21" s="2" t="s">
        <v>3033</v>
      </c>
      <c r="B21" s="11" t="s">
        <v>3021</v>
      </c>
      <c r="C21" s="11" t="s">
        <v>3022</v>
      </c>
      <c r="D21" s="11" t="s">
        <v>3023</v>
      </c>
      <c r="E21" s="11" t="s">
        <v>3024</v>
      </c>
      <c r="F21" s="11" t="s">
        <v>3025</v>
      </c>
      <c r="G21" s="11" t="s">
        <v>3026</v>
      </c>
      <c r="H21" s="2" t="s">
        <v>139</v>
      </c>
      <c r="I21" s="11" t="s">
        <v>16</v>
      </c>
      <c r="J21" s="11" t="s">
        <v>17</v>
      </c>
    </row>
    <row r="22" spans="1:10" ht="193.2" x14ac:dyDescent="0.3">
      <c r="A22" s="2" t="s">
        <v>3034</v>
      </c>
      <c r="B22" s="11" t="s">
        <v>3027</v>
      </c>
      <c r="C22" s="11" t="s">
        <v>3028</v>
      </c>
      <c r="D22" s="11" t="s">
        <v>3029</v>
      </c>
      <c r="E22" s="11" t="s">
        <v>3030</v>
      </c>
      <c r="F22" s="11" t="s">
        <v>3031</v>
      </c>
      <c r="G22" s="11" t="s">
        <v>3032</v>
      </c>
      <c r="H22" s="2" t="s">
        <v>139</v>
      </c>
      <c r="I22" s="11" t="s">
        <v>16</v>
      </c>
      <c r="J22" s="11" t="s">
        <v>17</v>
      </c>
    </row>
  </sheetData>
  <phoneticPr fontId="12" type="noConversion"/>
  <conditionalFormatting sqref="J1:J1048576">
    <cfRule type="cellIs" dxfId="2" priority="1" operator="equal">
      <formula>"Ongoing"</formula>
    </cfRule>
    <cfRule type="cellIs" dxfId="1" priority="2" operator="equal">
      <formula>"Not started yet"</formula>
    </cfRule>
    <cfRule type="cellIs" dxfId="0" priority="3" operator="equal">
      <formula>"Completed"</formula>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8"/>
  <sheetViews>
    <sheetView zoomScale="55" zoomScaleNormal="55" workbookViewId="0">
      <selection activeCell="C6" sqref="C6:F6"/>
    </sheetView>
  </sheetViews>
  <sheetFormatPr defaultColWidth="8.88671875" defaultRowHeight="14.4" x14ac:dyDescent="0.3"/>
  <cols>
    <col min="1" max="1" width="8.88671875" style="13"/>
    <col min="2" max="2" width="32.109375" style="13" customWidth="1"/>
    <col min="3" max="3" width="77.88671875" style="13" customWidth="1"/>
    <col min="4" max="4" width="9.77734375" style="13" customWidth="1"/>
    <col min="5" max="5" width="10.21875" style="13" customWidth="1"/>
    <col min="6" max="6" width="19.88671875" style="13" customWidth="1"/>
    <col min="7" max="7" width="10.44140625" style="13" customWidth="1"/>
    <col min="8" max="8" width="11.88671875" style="13" customWidth="1"/>
    <col min="9" max="9" width="9.109375" style="13" customWidth="1"/>
    <col min="10" max="10" width="10.109375" style="13" customWidth="1"/>
    <col min="11" max="11" width="10.44140625" style="13" customWidth="1"/>
    <col min="12" max="12" width="27.33203125" style="13" customWidth="1"/>
    <col min="13" max="16384" width="8.88671875" style="13"/>
  </cols>
  <sheetData>
    <row r="1" spans="1:10" s="15" customFormat="1" ht="13.5" customHeight="1" x14ac:dyDescent="0.3">
      <c r="A1" s="14"/>
      <c r="B1" s="67" t="s">
        <v>130</v>
      </c>
      <c r="C1" s="67"/>
      <c r="D1" s="67"/>
      <c r="E1" s="67"/>
      <c r="F1" s="67"/>
      <c r="G1" s="14"/>
      <c r="H1" s="14"/>
      <c r="I1" s="14"/>
      <c r="J1" s="14"/>
    </row>
    <row r="2" spans="1:10" s="15" customFormat="1" ht="13.5" customHeight="1" x14ac:dyDescent="0.3">
      <c r="A2" s="14"/>
      <c r="B2" s="16" t="s">
        <v>131</v>
      </c>
      <c r="C2" s="63" t="s">
        <v>9</v>
      </c>
      <c r="D2" s="63"/>
      <c r="E2" s="63"/>
      <c r="F2" s="63"/>
      <c r="G2" s="14"/>
      <c r="H2" s="14"/>
      <c r="I2" s="14"/>
      <c r="J2" s="14"/>
    </row>
    <row r="3" spans="1:10" s="15" customFormat="1" ht="13.5" customHeight="1" x14ac:dyDescent="0.3">
      <c r="A3" s="14"/>
      <c r="B3" s="16" t="s">
        <v>132</v>
      </c>
      <c r="C3" s="63" t="s">
        <v>133</v>
      </c>
      <c r="D3" s="63"/>
      <c r="E3" s="63"/>
      <c r="F3" s="63"/>
      <c r="G3" s="14"/>
      <c r="H3" s="14"/>
      <c r="I3" s="14"/>
      <c r="J3" s="14"/>
    </row>
    <row r="4" spans="1:10" s="15" customFormat="1" ht="13.5" customHeight="1" x14ac:dyDescent="0.3">
      <c r="A4" s="14"/>
      <c r="B4" s="16" t="s">
        <v>134</v>
      </c>
      <c r="C4" s="63" t="s">
        <v>135</v>
      </c>
      <c r="D4" s="63"/>
      <c r="E4" s="63"/>
      <c r="F4" s="63"/>
      <c r="G4" s="14"/>
      <c r="H4" s="14"/>
      <c r="I4" s="14"/>
      <c r="J4" s="14"/>
    </row>
    <row r="5" spans="1:10" s="15" customFormat="1" ht="13.5" customHeight="1" x14ac:dyDescent="0.3">
      <c r="A5" s="14"/>
      <c r="B5" s="16" t="s">
        <v>136</v>
      </c>
      <c r="C5" s="63" t="s">
        <v>137</v>
      </c>
      <c r="D5" s="63"/>
      <c r="E5" s="63"/>
      <c r="F5" s="63"/>
      <c r="G5" s="14"/>
      <c r="H5" s="14"/>
      <c r="I5" s="14"/>
      <c r="J5" s="14"/>
    </row>
    <row r="6" spans="1:10" ht="14.25" customHeight="1" x14ac:dyDescent="0.3">
      <c r="B6" s="16" t="s">
        <v>138</v>
      </c>
      <c r="C6" s="65" t="s">
        <v>139</v>
      </c>
      <c r="D6" s="65"/>
      <c r="E6" s="65"/>
      <c r="F6" s="65"/>
    </row>
    <row r="7" spans="1:10" s="15" customFormat="1" ht="13.5" customHeight="1" x14ac:dyDescent="0.3">
      <c r="A7" s="14"/>
      <c r="B7" s="16" t="s">
        <v>140</v>
      </c>
      <c r="C7" s="63" t="s">
        <v>141</v>
      </c>
      <c r="D7" s="63"/>
      <c r="E7" s="63"/>
      <c r="F7" s="63"/>
      <c r="G7" s="14"/>
      <c r="H7" s="14"/>
      <c r="I7" s="14"/>
      <c r="J7" s="14"/>
    </row>
    <row r="8" spans="1:10" s="15" customFormat="1" ht="13.5" customHeight="1" x14ac:dyDescent="0.3">
      <c r="A8" s="14"/>
      <c r="B8" s="14"/>
      <c r="C8" s="66"/>
      <c r="D8" s="66"/>
      <c r="E8" s="66"/>
      <c r="F8" s="14"/>
      <c r="G8" s="14"/>
      <c r="H8" s="14"/>
      <c r="I8" s="14"/>
      <c r="J8" s="14"/>
    </row>
    <row r="9" spans="1:10" s="15" customFormat="1" ht="15" customHeight="1" x14ac:dyDescent="0.3">
      <c r="A9" s="14"/>
      <c r="B9" s="17" t="s">
        <v>142</v>
      </c>
      <c r="C9" s="14"/>
      <c r="D9" s="14"/>
      <c r="E9" s="14"/>
      <c r="F9" s="14"/>
      <c r="G9" s="14"/>
      <c r="H9" s="14"/>
      <c r="I9" s="14"/>
      <c r="J9" s="14"/>
    </row>
    <row r="10" spans="1:10" s="15" customFormat="1" ht="13.5" customHeight="1" x14ac:dyDescent="0.3">
      <c r="A10" s="14"/>
      <c r="B10" s="60" t="s">
        <v>143</v>
      </c>
      <c r="C10" s="60"/>
      <c r="D10" s="60"/>
      <c r="E10" s="60"/>
      <c r="F10" s="14"/>
      <c r="G10" s="18"/>
      <c r="H10" s="18"/>
      <c r="I10" s="18"/>
      <c r="J10" s="14"/>
    </row>
    <row r="11" spans="1:10" s="15" customFormat="1" ht="13.5" customHeight="1" x14ac:dyDescent="0.3">
      <c r="A11" s="14"/>
      <c r="B11" s="16" t="s">
        <v>144</v>
      </c>
      <c r="C11" s="63" t="s">
        <v>145</v>
      </c>
      <c r="D11" s="63"/>
      <c r="E11" s="63"/>
      <c r="F11" s="14"/>
      <c r="G11" s="19"/>
      <c r="H11" s="19"/>
      <c r="I11" s="19"/>
      <c r="J11" s="14"/>
    </row>
    <row r="12" spans="1:10" s="15" customFormat="1" ht="27" customHeight="1" x14ac:dyDescent="0.3">
      <c r="A12" s="14"/>
      <c r="B12" s="16" t="s">
        <v>146</v>
      </c>
      <c r="C12" s="63" t="s">
        <v>147</v>
      </c>
      <c r="D12" s="63"/>
      <c r="E12" s="63"/>
      <c r="F12" s="14"/>
      <c r="G12" s="20"/>
      <c r="H12" s="21"/>
      <c r="I12" s="21"/>
      <c r="J12" s="14"/>
    </row>
    <row r="13" spans="1:10" s="15" customFormat="1" ht="13.5" customHeight="1" x14ac:dyDescent="0.3">
      <c r="A13" s="14"/>
      <c r="B13" s="16" t="s">
        <v>148</v>
      </c>
      <c r="C13" s="63" t="s">
        <v>149</v>
      </c>
      <c r="D13" s="63"/>
      <c r="E13" s="63"/>
      <c r="F13" s="14"/>
      <c r="G13" s="20"/>
      <c r="H13" s="21"/>
      <c r="I13" s="21"/>
      <c r="J13" s="14"/>
    </row>
    <row r="14" spans="1:10" s="15" customFormat="1" ht="13.5" customHeight="1" x14ac:dyDescent="0.3">
      <c r="A14" s="14"/>
      <c r="B14" s="16" t="s">
        <v>150</v>
      </c>
      <c r="C14" s="63" t="s">
        <v>151</v>
      </c>
      <c r="D14" s="63"/>
      <c r="E14" s="63"/>
      <c r="F14" s="14"/>
      <c r="G14" s="20"/>
      <c r="H14" s="21"/>
      <c r="I14" s="21"/>
      <c r="J14" s="14"/>
    </row>
    <row r="16" spans="1:10" ht="14.25" customHeight="1" x14ac:dyDescent="0.3">
      <c r="B16" s="60" t="s">
        <v>152</v>
      </c>
      <c r="C16" s="60"/>
      <c r="D16" s="60"/>
    </row>
    <row r="17" spans="2:4" x14ac:dyDescent="0.3">
      <c r="B17" s="22" t="s">
        <v>153</v>
      </c>
      <c r="C17" s="22" t="s">
        <v>154</v>
      </c>
      <c r="D17" s="22" t="s">
        <v>155</v>
      </c>
    </row>
    <row r="18" spans="2:4" x14ac:dyDescent="0.3">
      <c r="B18" s="23">
        <v>1</v>
      </c>
      <c r="C18" s="4" t="s">
        <v>156</v>
      </c>
      <c r="D18" s="4" t="s">
        <v>157</v>
      </c>
    </row>
    <row r="19" spans="2:4" x14ac:dyDescent="0.3">
      <c r="B19" s="23">
        <v>2</v>
      </c>
      <c r="C19" s="4" t="s">
        <v>158</v>
      </c>
      <c r="D19" s="4" t="s">
        <v>159</v>
      </c>
    </row>
    <row r="20" spans="2:4" ht="24" customHeight="1" x14ac:dyDescent="0.3">
      <c r="B20" s="23">
        <v>3</v>
      </c>
      <c r="C20" s="4" t="s">
        <v>160</v>
      </c>
      <c r="D20" s="4" t="s">
        <v>161</v>
      </c>
    </row>
    <row r="21" spans="2:4" x14ac:dyDescent="0.3">
      <c r="B21" s="23">
        <v>4</v>
      </c>
      <c r="C21" s="4" t="s">
        <v>162</v>
      </c>
      <c r="D21" s="4" t="s">
        <v>163</v>
      </c>
    </row>
    <row r="23" spans="2:4" ht="14.25" customHeight="1" x14ac:dyDescent="0.3">
      <c r="B23" s="60" t="s">
        <v>164</v>
      </c>
      <c r="C23" s="60"/>
    </row>
    <row r="24" spans="2:4" x14ac:dyDescent="0.3">
      <c r="B24" s="22" t="s">
        <v>165</v>
      </c>
      <c r="C24" s="22" t="s">
        <v>166</v>
      </c>
    </row>
    <row r="25" spans="2:4" x14ac:dyDescent="0.3">
      <c r="B25" s="24" t="s">
        <v>167</v>
      </c>
      <c r="C25" s="24" t="s">
        <v>168</v>
      </c>
    </row>
    <row r="26" spans="2:4" x14ac:dyDescent="0.3">
      <c r="B26" s="24" t="s">
        <v>169</v>
      </c>
      <c r="C26" s="24" t="s">
        <v>170</v>
      </c>
    </row>
    <row r="27" spans="2:4" x14ac:dyDescent="0.3">
      <c r="B27" s="24" t="s">
        <v>171</v>
      </c>
      <c r="C27" s="24" t="s">
        <v>172</v>
      </c>
    </row>
    <row r="28" spans="2:4" x14ac:dyDescent="0.3">
      <c r="B28" s="24" t="s">
        <v>173</v>
      </c>
      <c r="C28" s="24" t="s">
        <v>174</v>
      </c>
    </row>
    <row r="29" spans="2:4" x14ac:dyDescent="0.3">
      <c r="B29" s="24" t="s">
        <v>175</v>
      </c>
      <c r="C29" s="24" t="s">
        <v>176</v>
      </c>
    </row>
    <row r="30" spans="2:4" ht="27" customHeight="1" x14ac:dyDescent="0.3">
      <c r="B30" s="24" t="s">
        <v>177</v>
      </c>
      <c r="C30" s="24" t="s">
        <v>178</v>
      </c>
    </row>
    <row r="31" spans="2:4" x14ac:dyDescent="0.3">
      <c r="B31" s="24" t="s">
        <v>179</v>
      </c>
      <c r="C31" s="24" t="s">
        <v>180</v>
      </c>
    </row>
    <row r="32" spans="2:4" x14ac:dyDescent="0.3">
      <c r="B32" s="24" t="s">
        <v>181</v>
      </c>
      <c r="C32" s="24" t="s">
        <v>182</v>
      </c>
    </row>
    <row r="33" spans="2:12" x14ac:dyDescent="0.3">
      <c r="B33" s="24" t="s">
        <v>183</v>
      </c>
      <c r="C33" s="24" t="s">
        <v>184</v>
      </c>
    </row>
    <row r="34" spans="2:12" x14ac:dyDescent="0.3">
      <c r="C34" s="14"/>
      <c r="D34" s="14"/>
      <c r="E34" s="14"/>
    </row>
    <row r="35" spans="2:12" ht="15" customHeight="1" x14ac:dyDescent="0.3">
      <c r="B35" s="17" t="s">
        <v>185</v>
      </c>
      <c r="C35" s="14"/>
      <c r="D35" s="14"/>
      <c r="E35" s="14"/>
    </row>
    <row r="36" spans="2:12" ht="14.25" customHeight="1" x14ac:dyDescent="0.3">
      <c r="B36" s="62" t="s">
        <v>186</v>
      </c>
      <c r="C36" s="62"/>
      <c r="D36" s="62"/>
      <c r="E36" s="62"/>
    </row>
    <row r="37" spans="2:12" ht="14.25" customHeight="1" x14ac:dyDescent="0.3">
      <c r="B37" s="25" t="s">
        <v>187</v>
      </c>
      <c r="C37" s="63" t="s">
        <v>188</v>
      </c>
      <c r="D37" s="63"/>
      <c r="E37" s="63"/>
    </row>
    <row r="38" spans="2:12" ht="22.35" customHeight="1" x14ac:dyDescent="0.3">
      <c r="B38" s="25" t="s">
        <v>189</v>
      </c>
      <c r="C38" s="63" t="s">
        <v>190</v>
      </c>
      <c r="D38" s="63"/>
      <c r="E38" s="63"/>
    </row>
    <row r="39" spans="2:12" ht="23.85" customHeight="1" x14ac:dyDescent="0.3">
      <c r="B39" s="25" t="s">
        <v>191</v>
      </c>
      <c r="C39" s="64" t="s">
        <v>192</v>
      </c>
      <c r="D39" s="64"/>
      <c r="E39" s="64"/>
    </row>
    <row r="40" spans="2:12" ht="23.85" customHeight="1" x14ac:dyDescent="0.3">
      <c r="B40" s="25" t="s">
        <v>193</v>
      </c>
      <c r="C40" s="64" t="s">
        <v>194</v>
      </c>
      <c r="D40" s="64"/>
      <c r="E40" s="64"/>
    </row>
    <row r="42" spans="2:12" ht="30.75" customHeight="1" x14ac:dyDescent="0.3">
      <c r="B42" s="17" t="s">
        <v>195</v>
      </c>
      <c r="C42" s="14"/>
      <c r="D42" s="14"/>
      <c r="E42" s="14"/>
      <c r="F42" s="14"/>
      <c r="G42" s="14"/>
      <c r="H42" s="14"/>
      <c r="I42" s="14"/>
    </row>
    <row r="43" spans="2:12" ht="27" customHeight="1" x14ac:dyDescent="0.3">
      <c r="B43" s="26" t="s">
        <v>196</v>
      </c>
      <c r="C43" s="26" t="s">
        <v>197</v>
      </c>
      <c r="D43" s="26">
        <v>2</v>
      </c>
      <c r="E43" s="26">
        <v>3</v>
      </c>
      <c r="F43" s="26">
        <v>4</v>
      </c>
      <c r="G43" s="26">
        <v>5</v>
      </c>
      <c r="H43" s="26">
        <v>6</v>
      </c>
      <c r="I43" s="26">
        <v>7</v>
      </c>
      <c r="J43" s="26">
        <v>8</v>
      </c>
      <c r="K43" s="26">
        <v>9</v>
      </c>
      <c r="L43" s="26">
        <v>10</v>
      </c>
    </row>
    <row r="44" spans="2:12" ht="54.75" customHeight="1" x14ac:dyDescent="0.3">
      <c r="B44" s="27" t="s">
        <v>130</v>
      </c>
      <c r="C44" s="27" t="s">
        <v>198</v>
      </c>
      <c r="D44" s="27" t="s">
        <v>199</v>
      </c>
      <c r="E44" s="27" t="s">
        <v>200</v>
      </c>
      <c r="F44" s="27" t="s">
        <v>201</v>
      </c>
      <c r="G44" s="27" t="s">
        <v>202</v>
      </c>
      <c r="H44" s="27" t="s">
        <v>203</v>
      </c>
      <c r="I44" s="27" t="s">
        <v>204</v>
      </c>
      <c r="J44" s="27" t="s">
        <v>205</v>
      </c>
      <c r="K44" s="27" t="s">
        <v>206</v>
      </c>
      <c r="L44" s="27" t="s">
        <v>207</v>
      </c>
    </row>
    <row r="45" spans="2:12" ht="69" customHeight="1" x14ac:dyDescent="0.3">
      <c r="B45" s="16" t="s">
        <v>208</v>
      </c>
      <c r="C45" s="3" t="s">
        <v>209</v>
      </c>
      <c r="D45" s="3" t="s">
        <v>210</v>
      </c>
      <c r="E45" s="3" t="s">
        <v>211</v>
      </c>
      <c r="F45" s="3" t="s">
        <v>212</v>
      </c>
      <c r="G45" s="28" t="s">
        <v>213</v>
      </c>
      <c r="H45" s="28" t="s">
        <v>214</v>
      </c>
      <c r="I45" s="28" t="s">
        <v>215</v>
      </c>
      <c r="J45" s="28" t="s">
        <v>216</v>
      </c>
      <c r="K45" s="28" t="s">
        <v>217</v>
      </c>
      <c r="L45" s="28" t="s">
        <v>218</v>
      </c>
    </row>
    <row r="46" spans="2:12" ht="27" customHeight="1" x14ac:dyDescent="0.3">
      <c r="B46" s="16" t="s">
        <v>167</v>
      </c>
      <c r="C46" s="25" t="s">
        <v>219</v>
      </c>
      <c r="D46" s="25" t="s">
        <v>220</v>
      </c>
      <c r="E46" s="25" t="s">
        <v>221</v>
      </c>
      <c r="F46" s="25" t="s">
        <v>222</v>
      </c>
      <c r="G46" s="25" t="s">
        <v>223</v>
      </c>
      <c r="H46" s="25" t="s">
        <v>219</v>
      </c>
      <c r="I46" s="25" t="s">
        <v>223</v>
      </c>
      <c r="J46" s="25" t="s">
        <v>219</v>
      </c>
      <c r="K46" s="25" t="s">
        <v>221</v>
      </c>
      <c r="L46" s="25" t="s">
        <v>224</v>
      </c>
    </row>
    <row r="47" spans="2:12" x14ac:dyDescent="0.3">
      <c r="B47" s="16" t="s">
        <v>169</v>
      </c>
      <c r="C47" s="25" t="s">
        <v>225</v>
      </c>
      <c r="D47" s="25" t="s">
        <v>225</v>
      </c>
      <c r="E47" s="25" t="s">
        <v>221</v>
      </c>
      <c r="F47" s="25" t="s">
        <v>221</v>
      </c>
      <c r="G47" s="25" t="s">
        <v>221</v>
      </c>
      <c r="H47" s="25" t="s">
        <v>226</v>
      </c>
      <c r="I47" s="29" t="s">
        <v>227</v>
      </c>
      <c r="J47" s="25" t="s">
        <v>228</v>
      </c>
      <c r="K47" s="25" t="s">
        <v>229</v>
      </c>
      <c r="L47" s="25" t="s">
        <v>230</v>
      </c>
    </row>
    <row r="48" spans="2:12" ht="27" customHeight="1" x14ac:dyDescent="0.3">
      <c r="B48" s="16" t="s">
        <v>231</v>
      </c>
      <c r="C48" s="25" t="s">
        <v>219</v>
      </c>
      <c r="D48" s="25" t="s">
        <v>219</v>
      </c>
      <c r="E48" s="25" t="s">
        <v>221</v>
      </c>
      <c r="F48" s="25" t="s">
        <v>221</v>
      </c>
      <c r="G48" s="25" t="s">
        <v>221</v>
      </c>
      <c r="H48" s="25" t="s">
        <v>219</v>
      </c>
      <c r="I48" s="25" t="s">
        <v>222</v>
      </c>
      <c r="J48" s="25" t="s">
        <v>228</v>
      </c>
      <c r="K48" s="25" t="s">
        <v>232</v>
      </c>
      <c r="L48" s="25" t="s">
        <v>232</v>
      </c>
    </row>
    <row r="49" spans="2:20" ht="27" customHeight="1" x14ac:dyDescent="0.3">
      <c r="B49" s="16" t="s">
        <v>177</v>
      </c>
      <c r="C49" s="25" t="s">
        <v>233</v>
      </c>
      <c r="D49" s="25" t="s">
        <v>233</v>
      </c>
      <c r="E49" s="25" t="s">
        <v>221</v>
      </c>
      <c r="F49" s="25" t="s">
        <v>219</v>
      </c>
      <c r="G49" s="25" t="s">
        <v>219</v>
      </c>
      <c r="H49" s="25" t="s">
        <v>224</v>
      </c>
      <c r="I49" s="25" t="s">
        <v>223</v>
      </c>
      <c r="J49" s="25" t="s">
        <v>234</v>
      </c>
      <c r="K49" s="25" t="s">
        <v>235</v>
      </c>
      <c r="L49" s="25" t="s">
        <v>219</v>
      </c>
    </row>
    <row r="50" spans="2:20" ht="27" customHeight="1" x14ac:dyDescent="0.3">
      <c r="B50" s="16" t="s">
        <v>179</v>
      </c>
      <c r="C50" s="25" t="s">
        <v>223</v>
      </c>
      <c r="D50" s="25" t="s">
        <v>223</v>
      </c>
      <c r="E50" s="25" t="s">
        <v>223</v>
      </c>
      <c r="F50" s="25" t="s">
        <v>223</v>
      </c>
      <c r="G50" s="25" t="s">
        <v>223</v>
      </c>
      <c r="H50" s="25" t="s">
        <v>236</v>
      </c>
      <c r="I50" s="25" t="s">
        <v>237</v>
      </c>
      <c r="J50" s="25" t="s">
        <v>228</v>
      </c>
      <c r="K50" s="25" t="s">
        <v>225</v>
      </c>
      <c r="L50" s="30" t="s">
        <v>225</v>
      </c>
    </row>
    <row r="51" spans="2:20" x14ac:dyDescent="0.3">
      <c r="B51" s="16" t="s">
        <v>238</v>
      </c>
      <c r="C51" s="25" t="s">
        <v>239</v>
      </c>
      <c r="D51" s="25" t="s">
        <v>239</v>
      </c>
      <c r="E51" s="25" t="s">
        <v>239</v>
      </c>
      <c r="F51" s="25" t="s">
        <v>239</v>
      </c>
      <c r="G51" s="25" t="s">
        <v>239</v>
      </c>
      <c r="H51" s="25" t="s">
        <v>240</v>
      </c>
      <c r="I51" s="25" t="s">
        <v>219</v>
      </c>
      <c r="J51" s="25" t="s">
        <v>241</v>
      </c>
      <c r="K51" s="25" t="s">
        <v>230</v>
      </c>
      <c r="L51" s="25" t="s">
        <v>242</v>
      </c>
    </row>
    <row r="52" spans="2:20" x14ac:dyDescent="0.3">
      <c r="B52" s="16" t="s">
        <v>181</v>
      </c>
      <c r="C52" s="25" t="s">
        <v>228</v>
      </c>
      <c r="D52" s="25" t="s">
        <v>228</v>
      </c>
      <c r="E52" s="25" t="s">
        <v>228</v>
      </c>
      <c r="F52" s="25" t="s">
        <v>228</v>
      </c>
      <c r="G52" s="25" t="s">
        <v>228</v>
      </c>
      <c r="H52" s="25" t="s">
        <v>228</v>
      </c>
      <c r="I52" s="25" t="s">
        <v>228</v>
      </c>
      <c r="J52" s="25" t="s">
        <v>228</v>
      </c>
      <c r="K52" s="25" t="s">
        <v>228</v>
      </c>
      <c r="L52" s="25" t="s">
        <v>228</v>
      </c>
    </row>
    <row r="53" spans="2:20" x14ac:dyDescent="0.3">
      <c r="B53" s="16" t="s">
        <v>183</v>
      </c>
      <c r="C53" s="25" t="s">
        <v>228</v>
      </c>
      <c r="D53" s="25" t="s">
        <v>228</v>
      </c>
      <c r="E53" s="25" t="s">
        <v>228</v>
      </c>
      <c r="F53" s="25" t="s">
        <v>228</v>
      </c>
      <c r="G53" s="25" t="s">
        <v>228</v>
      </c>
      <c r="H53" s="25" t="s">
        <v>228</v>
      </c>
      <c r="I53" s="25" t="s">
        <v>228</v>
      </c>
      <c r="J53" s="25" t="s">
        <v>228</v>
      </c>
      <c r="K53" s="25" t="s">
        <v>228</v>
      </c>
      <c r="L53" s="25" t="s">
        <v>228</v>
      </c>
    </row>
    <row r="54" spans="2:20" ht="69" customHeight="1" x14ac:dyDescent="0.3">
      <c r="B54" s="16" t="s">
        <v>243</v>
      </c>
      <c r="C54" s="3" t="s">
        <v>244</v>
      </c>
      <c r="D54" s="25" t="s">
        <v>245</v>
      </c>
      <c r="E54" s="3" t="s">
        <v>246</v>
      </c>
      <c r="F54" s="3" t="s">
        <v>247</v>
      </c>
      <c r="G54" s="3" t="s">
        <v>248</v>
      </c>
      <c r="H54" s="3" t="s">
        <v>249</v>
      </c>
      <c r="I54" s="3" t="s">
        <v>250</v>
      </c>
      <c r="J54" s="3" t="s">
        <v>251</v>
      </c>
      <c r="K54" s="3" t="s">
        <v>252</v>
      </c>
      <c r="L54" s="3" t="s">
        <v>253</v>
      </c>
    </row>
    <row r="55" spans="2:20" x14ac:dyDescent="0.3">
      <c r="B55" s="18"/>
      <c r="C55" s="9"/>
      <c r="D55" s="14"/>
      <c r="E55" s="9"/>
      <c r="F55" s="9"/>
      <c r="G55" s="9"/>
      <c r="H55" s="9"/>
      <c r="I55" s="9"/>
      <c r="J55" s="9"/>
      <c r="K55" s="9"/>
      <c r="L55" s="9"/>
    </row>
    <row r="56" spans="2:20" ht="14.25" customHeight="1" x14ac:dyDescent="0.3">
      <c r="B56" s="60" t="s">
        <v>254</v>
      </c>
      <c r="C56" s="60"/>
      <c r="D56" s="60"/>
      <c r="E56" s="60"/>
      <c r="F56" s="60"/>
      <c r="G56" s="60"/>
      <c r="H56" s="60"/>
      <c r="I56" s="60"/>
      <c r="J56" s="60"/>
    </row>
    <row r="57" spans="2:20" ht="27" customHeight="1" x14ac:dyDescent="0.3">
      <c r="B57" s="22" t="s">
        <v>255</v>
      </c>
      <c r="C57" s="22" t="s">
        <v>167</v>
      </c>
      <c r="D57" s="22" t="s">
        <v>169</v>
      </c>
      <c r="E57" s="22" t="s">
        <v>171</v>
      </c>
      <c r="F57" s="22" t="s">
        <v>177</v>
      </c>
      <c r="G57" s="22" t="s">
        <v>179</v>
      </c>
      <c r="H57" s="22" t="s">
        <v>175</v>
      </c>
      <c r="I57" s="22" t="s">
        <v>181</v>
      </c>
      <c r="J57" s="22" t="s">
        <v>183</v>
      </c>
      <c r="L57" s="19"/>
      <c r="M57" s="19"/>
      <c r="N57" s="19"/>
      <c r="O57" s="19"/>
      <c r="P57" s="19"/>
      <c r="Q57" s="19"/>
      <c r="R57" s="19"/>
      <c r="S57" s="19"/>
      <c r="T57" s="19"/>
    </row>
    <row r="58" spans="2:20" x14ac:dyDescent="0.3">
      <c r="B58" s="31">
        <v>1</v>
      </c>
      <c r="C58" s="23" t="s">
        <v>219</v>
      </c>
      <c r="D58" s="23" t="s">
        <v>225</v>
      </c>
      <c r="E58" s="23" t="s">
        <v>219</v>
      </c>
      <c r="F58" s="23" t="s">
        <v>219</v>
      </c>
      <c r="G58" s="23" t="s">
        <v>223</v>
      </c>
      <c r="H58" s="23" t="s">
        <v>239</v>
      </c>
      <c r="I58" s="23" t="s">
        <v>228</v>
      </c>
      <c r="J58" s="23" t="s">
        <v>228</v>
      </c>
      <c r="L58" s="32"/>
      <c r="M58" s="9"/>
      <c r="N58" s="20"/>
      <c r="O58" s="20"/>
      <c r="P58" s="20"/>
      <c r="Q58" s="20"/>
      <c r="R58" s="20"/>
      <c r="S58" s="20"/>
      <c r="T58" s="33"/>
    </row>
    <row r="59" spans="2:20" x14ac:dyDescent="0.3">
      <c r="B59" s="31">
        <v>2</v>
      </c>
      <c r="C59" s="1" t="s">
        <v>221</v>
      </c>
      <c r="D59" s="1" t="s">
        <v>221</v>
      </c>
      <c r="E59" s="1" t="s">
        <v>221</v>
      </c>
      <c r="F59" s="1" t="s">
        <v>221</v>
      </c>
      <c r="G59" s="1" t="s">
        <v>223</v>
      </c>
      <c r="H59" s="1" t="s">
        <v>239</v>
      </c>
      <c r="I59" s="1" t="s">
        <v>228</v>
      </c>
      <c r="J59" s="1" t="s">
        <v>228</v>
      </c>
      <c r="L59" s="32"/>
      <c r="M59" s="20"/>
      <c r="N59" s="20"/>
      <c r="O59" s="20"/>
      <c r="P59" s="20"/>
      <c r="Q59" s="20"/>
      <c r="R59" s="20"/>
      <c r="S59" s="20"/>
      <c r="T59" s="33"/>
    </row>
    <row r="60" spans="2:20" x14ac:dyDescent="0.3">
      <c r="B60" s="31">
        <v>3</v>
      </c>
      <c r="C60" s="23" t="s">
        <v>221</v>
      </c>
      <c r="D60" s="23" t="s">
        <v>221</v>
      </c>
      <c r="E60" s="23" t="s">
        <v>256</v>
      </c>
      <c r="F60" s="23" t="s">
        <v>221</v>
      </c>
      <c r="G60" s="23" t="s">
        <v>223</v>
      </c>
      <c r="H60" s="23" t="s">
        <v>239</v>
      </c>
      <c r="I60" s="23" t="s">
        <v>257</v>
      </c>
      <c r="J60" s="23" t="s">
        <v>228</v>
      </c>
      <c r="L60" s="32"/>
      <c r="M60" s="20"/>
      <c r="N60" s="20"/>
      <c r="O60" s="20"/>
      <c r="P60" s="20"/>
      <c r="Q60" s="20"/>
      <c r="R60" s="20"/>
      <c r="S60" s="20"/>
      <c r="T60" s="33"/>
    </row>
    <row r="61" spans="2:20" x14ac:dyDescent="0.3">
      <c r="B61" s="31">
        <v>4</v>
      </c>
      <c r="C61" s="23" t="s">
        <v>258</v>
      </c>
      <c r="D61" s="23" t="s">
        <v>221</v>
      </c>
      <c r="E61" s="23" t="s">
        <v>256</v>
      </c>
      <c r="F61" s="23" t="s">
        <v>219</v>
      </c>
      <c r="G61" s="23" t="s">
        <v>223</v>
      </c>
      <c r="H61" s="23" t="s">
        <v>239</v>
      </c>
      <c r="I61" s="23" t="s">
        <v>228</v>
      </c>
      <c r="J61" s="23" t="s">
        <v>228</v>
      </c>
      <c r="L61" s="32"/>
      <c r="M61" s="20"/>
      <c r="N61" s="20"/>
      <c r="O61" s="20"/>
      <c r="P61" s="20"/>
      <c r="Q61" s="20"/>
      <c r="R61" s="20"/>
      <c r="S61" s="20"/>
      <c r="T61" s="33"/>
    </row>
    <row r="62" spans="2:20" x14ac:dyDescent="0.3">
      <c r="B62" s="31">
        <v>5</v>
      </c>
      <c r="C62" s="23" t="s">
        <v>223</v>
      </c>
      <c r="D62" s="23" t="s">
        <v>259</v>
      </c>
      <c r="E62" s="23" t="s">
        <v>256</v>
      </c>
      <c r="F62" s="23" t="s">
        <v>219</v>
      </c>
      <c r="G62" s="23" t="s">
        <v>223</v>
      </c>
      <c r="H62" s="23" t="s">
        <v>239</v>
      </c>
      <c r="I62" s="23" t="s">
        <v>257</v>
      </c>
      <c r="J62" s="23" t="s">
        <v>228</v>
      </c>
      <c r="L62" s="32"/>
      <c r="M62" s="20"/>
      <c r="N62" s="20"/>
      <c r="O62" s="20"/>
      <c r="P62" s="20"/>
      <c r="Q62" s="20"/>
      <c r="R62" s="20"/>
      <c r="S62" s="20"/>
      <c r="T62" s="33"/>
    </row>
    <row r="63" spans="2:20" x14ac:dyDescent="0.3">
      <c r="B63" s="31">
        <v>6</v>
      </c>
      <c r="C63" s="1" t="s">
        <v>260</v>
      </c>
      <c r="D63" s="23" t="s">
        <v>226</v>
      </c>
      <c r="E63" s="23" t="s">
        <v>219</v>
      </c>
      <c r="F63" s="23" t="s">
        <v>224</v>
      </c>
      <c r="G63" s="23" t="s">
        <v>236</v>
      </c>
      <c r="H63" s="23" t="s">
        <v>240</v>
      </c>
      <c r="I63" s="23" t="s">
        <v>228</v>
      </c>
      <c r="J63" s="23" t="s">
        <v>228</v>
      </c>
      <c r="L63" s="32"/>
      <c r="M63" s="20"/>
      <c r="N63" s="20"/>
      <c r="O63" s="20"/>
      <c r="P63" s="20"/>
      <c r="Q63" s="20"/>
      <c r="R63" s="20"/>
      <c r="S63" s="20"/>
      <c r="T63" s="33"/>
    </row>
    <row r="64" spans="2:20" x14ac:dyDescent="0.3">
      <c r="B64" s="31">
        <v>7</v>
      </c>
      <c r="C64" s="23" t="s">
        <v>223</v>
      </c>
      <c r="D64" s="23" t="s">
        <v>227</v>
      </c>
      <c r="E64" s="23" t="s">
        <v>258</v>
      </c>
      <c r="F64" s="23" t="s">
        <v>223</v>
      </c>
      <c r="G64" s="23" t="s">
        <v>261</v>
      </c>
      <c r="H64" s="23" t="s">
        <v>219</v>
      </c>
      <c r="I64" s="23" t="s">
        <v>228</v>
      </c>
      <c r="J64" s="23" t="s">
        <v>228</v>
      </c>
      <c r="L64" s="32"/>
      <c r="M64" s="20"/>
      <c r="N64" s="20"/>
      <c r="O64" s="20"/>
      <c r="P64" s="20"/>
      <c r="Q64" s="20"/>
      <c r="R64" s="20"/>
      <c r="S64" s="20"/>
      <c r="T64" s="33"/>
    </row>
    <row r="65" spans="2:20" x14ac:dyDescent="0.3">
      <c r="B65" s="31">
        <v>8</v>
      </c>
      <c r="C65" s="1" t="s">
        <v>219</v>
      </c>
      <c r="D65" s="1" t="s">
        <v>228</v>
      </c>
      <c r="E65" s="1" t="s">
        <v>228</v>
      </c>
      <c r="F65" s="1" t="s">
        <v>234</v>
      </c>
      <c r="G65" s="1" t="s">
        <v>228</v>
      </c>
      <c r="H65" s="1" t="s">
        <v>241</v>
      </c>
      <c r="I65" s="1" t="s">
        <v>228</v>
      </c>
      <c r="J65" s="1" t="s">
        <v>228</v>
      </c>
      <c r="L65" s="32"/>
      <c r="M65" s="20"/>
      <c r="N65" s="20"/>
      <c r="O65" s="20"/>
      <c r="P65" s="20"/>
      <c r="Q65" s="20"/>
      <c r="R65" s="20"/>
      <c r="S65" s="20"/>
      <c r="T65" s="33"/>
    </row>
    <row r="66" spans="2:20" x14ac:dyDescent="0.3">
      <c r="B66" s="31">
        <v>9</v>
      </c>
      <c r="C66" s="23" t="s">
        <v>221</v>
      </c>
      <c r="D66" s="23" t="s">
        <v>230</v>
      </c>
      <c r="E66" s="23" t="s">
        <v>232</v>
      </c>
      <c r="F66" s="23" t="s">
        <v>262</v>
      </c>
      <c r="G66" s="23" t="s">
        <v>225</v>
      </c>
      <c r="H66" s="23" t="s">
        <v>230</v>
      </c>
      <c r="I66" s="23" t="s">
        <v>232</v>
      </c>
      <c r="J66" s="23" t="s">
        <v>228</v>
      </c>
      <c r="L66" s="32"/>
      <c r="M66" s="20"/>
      <c r="N66" s="20"/>
      <c r="O66" s="20"/>
      <c r="P66" s="20"/>
      <c r="Q66" s="20"/>
      <c r="R66" s="20"/>
      <c r="S66" s="20"/>
      <c r="T66" s="33"/>
    </row>
    <row r="67" spans="2:20" x14ac:dyDescent="0.3">
      <c r="B67" s="31">
        <v>10</v>
      </c>
      <c r="C67" s="23" t="s">
        <v>224</v>
      </c>
      <c r="D67" s="23" t="s">
        <v>230</v>
      </c>
      <c r="E67" s="23" t="s">
        <v>232</v>
      </c>
      <c r="F67" s="23" t="s">
        <v>219</v>
      </c>
      <c r="G67" s="23" t="s">
        <v>236</v>
      </c>
      <c r="H67" s="23" t="s">
        <v>263</v>
      </c>
      <c r="I67" s="23" t="s">
        <v>228</v>
      </c>
      <c r="J67" s="23" t="s">
        <v>228</v>
      </c>
      <c r="L67" s="32"/>
      <c r="M67" s="20"/>
      <c r="N67" s="20"/>
      <c r="O67" s="20"/>
      <c r="P67" s="20"/>
      <c r="Q67" s="20"/>
      <c r="R67" s="20"/>
      <c r="S67" s="20"/>
      <c r="T67" s="33"/>
    </row>
    <row r="69" spans="2:20" ht="15" customHeight="1" x14ac:dyDescent="0.3">
      <c r="B69" s="17" t="s">
        <v>264</v>
      </c>
      <c r="C69" s="34"/>
      <c r="D69" s="34"/>
      <c r="E69" s="34"/>
      <c r="F69" s="34"/>
      <c r="G69" s="34"/>
      <c r="H69" s="34"/>
      <c r="I69" s="34"/>
    </row>
    <row r="70" spans="2:20" x14ac:dyDescent="0.3">
      <c r="B70" s="26" t="s">
        <v>196</v>
      </c>
      <c r="C70" s="26">
        <v>11</v>
      </c>
      <c r="D70" s="26">
        <v>12</v>
      </c>
      <c r="E70" s="26">
        <v>13</v>
      </c>
      <c r="F70" s="26">
        <v>14</v>
      </c>
      <c r="G70" s="26">
        <v>15</v>
      </c>
      <c r="H70" s="26">
        <v>16</v>
      </c>
      <c r="I70" s="32"/>
    </row>
    <row r="71" spans="2:20" ht="82.5" customHeight="1" x14ac:dyDescent="0.3">
      <c r="B71" s="27" t="s">
        <v>130</v>
      </c>
      <c r="C71" s="27" t="s">
        <v>265</v>
      </c>
      <c r="D71" s="27" t="s">
        <v>266</v>
      </c>
      <c r="E71" s="27" t="s">
        <v>267</v>
      </c>
      <c r="F71" s="27" t="s">
        <v>268</v>
      </c>
      <c r="G71" s="27" t="s">
        <v>269</v>
      </c>
      <c r="H71" s="27" t="s">
        <v>270</v>
      </c>
      <c r="I71" s="18"/>
    </row>
    <row r="72" spans="2:20" ht="189.75" customHeight="1" x14ac:dyDescent="0.3">
      <c r="B72" s="16" t="s">
        <v>208</v>
      </c>
      <c r="C72" s="35" t="s">
        <v>271</v>
      </c>
      <c r="D72" s="35" t="s">
        <v>272</v>
      </c>
      <c r="E72" s="35" t="s">
        <v>273</v>
      </c>
      <c r="F72" s="35" t="s">
        <v>274</v>
      </c>
      <c r="G72" s="35" t="s">
        <v>275</v>
      </c>
      <c r="H72" s="35" t="s">
        <v>276</v>
      </c>
      <c r="I72" s="15"/>
    </row>
    <row r="73" spans="2:20" x14ac:dyDescent="0.3">
      <c r="B73" s="16" t="s">
        <v>167</v>
      </c>
      <c r="C73" s="35" t="s">
        <v>221</v>
      </c>
      <c r="D73" s="35" t="s">
        <v>221</v>
      </c>
      <c r="E73" s="35" t="s">
        <v>277</v>
      </c>
      <c r="F73" s="35" t="s">
        <v>221</v>
      </c>
      <c r="G73" s="35" t="s">
        <v>219</v>
      </c>
      <c r="H73" s="35" t="s">
        <v>219</v>
      </c>
      <c r="I73" s="15"/>
    </row>
    <row r="74" spans="2:20" x14ac:dyDescent="0.3">
      <c r="B74" s="16" t="s">
        <v>169</v>
      </c>
      <c r="C74" s="35" t="s">
        <v>278</v>
      </c>
      <c r="D74" s="36" t="s">
        <v>229</v>
      </c>
      <c r="E74" s="35" t="s">
        <v>278</v>
      </c>
      <c r="F74" s="35" t="s">
        <v>229</v>
      </c>
      <c r="G74" s="35" t="s">
        <v>221</v>
      </c>
      <c r="H74" s="35" t="s">
        <v>278</v>
      </c>
      <c r="I74" s="15"/>
    </row>
    <row r="75" spans="2:20" x14ac:dyDescent="0.3">
      <c r="B75" s="16" t="s">
        <v>231</v>
      </c>
      <c r="C75" s="35" t="s">
        <v>219</v>
      </c>
      <c r="D75" s="35" t="s">
        <v>232</v>
      </c>
      <c r="E75" s="35" t="s">
        <v>219</v>
      </c>
      <c r="F75" s="35" t="s">
        <v>232</v>
      </c>
      <c r="G75" s="35" t="s">
        <v>232</v>
      </c>
      <c r="H75" s="35" t="s">
        <v>232</v>
      </c>
      <c r="I75" s="15"/>
    </row>
    <row r="76" spans="2:20" ht="28.5" customHeight="1" x14ac:dyDescent="0.3">
      <c r="B76" s="16" t="s">
        <v>177</v>
      </c>
      <c r="C76" s="35" t="s">
        <v>279</v>
      </c>
      <c r="D76" s="35" t="s">
        <v>279</v>
      </c>
      <c r="E76" s="35" t="s">
        <v>219</v>
      </c>
      <c r="F76" s="35" t="s">
        <v>219</v>
      </c>
      <c r="G76" s="35" t="s">
        <v>233</v>
      </c>
      <c r="H76" s="35" t="s">
        <v>280</v>
      </c>
      <c r="I76" s="15"/>
    </row>
    <row r="77" spans="2:20" x14ac:dyDescent="0.3">
      <c r="B77" s="16" t="s">
        <v>179</v>
      </c>
      <c r="C77" s="35" t="s">
        <v>223</v>
      </c>
      <c r="D77" s="35" t="s">
        <v>223</v>
      </c>
      <c r="E77" s="35" t="s">
        <v>223</v>
      </c>
      <c r="F77" s="35" t="s">
        <v>223</v>
      </c>
      <c r="G77" s="35" t="s">
        <v>223</v>
      </c>
      <c r="H77" s="35" t="s">
        <v>223</v>
      </c>
      <c r="I77" s="15"/>
    </row>
    <row r="78" spans="2:20" x14ac:dyDescent="0.3">
      <c r="B78" s="16" t="s">
        <v>238</v>
      </c>
      <c r="C78" s="35" t="s">
        <v>239</v>
      </c>
      <c r="D78" s="35" t="s">
        <v>239</v>
      </c>
      <c r="E78" s="35" t="s">
        <v>239</v>
      </c>
      <c r="F78" s="35" t="s">
        <v>239</v>
      </c>
      <c r="G78" s="35" t="s">
        <v>239</v>
      </c>
      <c r="H78" s="35" t="s">
        <v>239</v>
      </c>
      <c r="I78" s="15"/>
    </row>
    <row r="79" spans="2:20" x14ac:dyDescent="0.3">
      <c r="B79" s="16" t="s">
        <v>181</v>
      </c>
      <c r="C79" s="35" t="s">
        <v>232</v>
      </c>
      <c r="D79" s="35" t="s">
        <v>232</v>
      </c>
      <c r="E79" s="35" t="s">
        <v>232</v>
      </c>
      <c r="F79" s="35" t="s">
        <v>232</v>
      </c>
      <c r="G79" s="35" t="s">
        <v>232</v>
      </c>
      <c r="H79" s="35" t="s">
        <v>232</v>
      </c>
      <c r="I79" s="15"/>
    </row>
    <row r="80" spans="2:20" x14ac:dyDescent="0.3">
      <c r="B80" s="16" t="s">
        <v>183</v>
      </c>
      <c r="C80" s="35" t="s">
        <v>219</v>
      </c>
      <c r="D80" s="35" t="s">
        <v>232</v>
      </c>
      <c r="E80" s="35" t="s">
        <v>232</v>
      </c>
      <c r="F80" s="35" t="s">
        <v>219</v>
      </c>
      <c r="G80" s="35" t="s">
        <v>232</v>
      </c>
      <c r="H80" s="35" t="s">
        <v>232</v>
      </c>
      <c r="I80" s="15"/>
    </row>
    <row r="81" spans="2:11" ht="129" customHeight="1" x14ac:dyDescent="0.3">
      <c r="B81" s="16" t="s">
        <v>243</v>
      </c>
      <c r="C81" s="35" t="s">
        <v>281</v>
      </c>
      <c r="D81" s="35" t="s">
        <v>282</v>
      </c>
      <c r="E81" s="35" t="s">
        <v>283</v>
      </c>
      <c r="F81" s="35" t="s">
        <v>284</v>
      </c>
      <c r="G81" s="35" t="s">
        <v>285</v>
      </c>
      <c r="H81" s="35" t="s">
        <v>286</v>
      </c>
      <c r="I81" s="15"/>
    </row>
    <row r="83" spans="2:11" ht="14.25" customHeight="1" x14ac:dyDescent="0.3">
      <c r="B83" s="60" t="s">
        <v>287</v>
      </c>
      <c r="C83" s="60"/>
      <c r="D83" s="60"/>
      <c r="E83" s="60"/>
      <c r="F83" s="60"/>
      <c r="G83" s="60"/>
      <c r="H83" s="60"/>
      <c r="I83" s="60"/>
      <c r="J83" s="60"/>
    </row>
    <row r="84" spans="2:11" ht="27" customHeight="1" x14ac:dyDescent="0.3">
      <c r="B84" s="22" t="s">
        <v>255</v>
      </c>
      <c r="C84" s="22" t="s">
        <v>167</v>
      </c>
      <c r="D84" s="22" t="s">
        <v>169</v>
      </c>
      <c r="E84" s="22" t="s">
        <v>171</v>
      </c>
      <c r="F84" s="22" t="s">
        <v>177</v>
      </c>
      <c r="G84" s="22" t="s">
        <v>179</v>
      </c>
      <c r="H84" s="22" t="s">
        <v>175</v>
      </c>
      <c r="I84" s="22" t="s">
        <v>181</v>
      </c>
      <c r="J84" s="22" t="s">
        <v>183</v>
      </c>
    </row>
    <row r="85" spans="2:11" x14ac:dyDescent="0.3">
      <c r="B85" s="37">
        <v>11</v>
      </c>
      <c r="C85" s="37" t="s">
        <v>221</v>
      </c>
      <c r="D85" s="37" t="s">
        <v>278</v>
      </c>
      <c r="E85" s="37" t="s">
        <v>219</v>
      </c>
      <c r="F85" s="37" t="s">
        <v>279</v>
      </c>
      <c r="G85" s="37" t="s">
        <v>223</v>
      </c>
      <c r="H85" s="37" t="s">
        <v>239</v>
      </c>
      <c r="I85" s="37" t="s">
        <v>232</v>
      </c>
      <c r="J85" s="37" t="s">
        <v>219</v>
      </c>
    </row>
    <row r="86" spans="2:11" x14ac:dyDescent="0.3">
      <c r="B86" s="37">
        <v>12</v>
      </c>
      <c r="C86" s="37" t="s">
        <v>221</v>
      </c>
      <c r="D86" s="37" t="s">
        <v>229</v>
      </c>
      <c r="E86" s="37" t="s">
        <v>232</v>
      </c>
      <c r="F86" s="37" t="s">
        <v>279</v>
      </c>
      <c r="G86" s="37" t="s">
        <v>223</v>
      </c>
      <c r="H86" s="37" t="s">
        <v>239</v>
      </c>
      <c r="I86" s="37" t="s">
        <v>232</v>
      </c>
      <c r="J86" s="37" t="s">
        <v>232</v>
      </c>
    </row>
    <row r="87" spans="2:11" x14ac:dyDescent="0.3">
      <c r="B87" s="37">
        <v>13</v>
      </c>
      <c r="C87" s="37" t="s">
        <v>277</v>
      </c>
      <c r="D87" s="37" t="s">
        <v>278</v>
      </c>
      <c r="E87" s="37" t="s">
        <v>219</v>
      </c>
      <c r="F87" s="37" t="s">
        <v>219</v>
      </c>
      <c r="G87" s="37" t="s">
        <v>223</v>
      </c>
      <c r="H87" s="37" t="s">
        <v>239</v>
      </c>
      <c r="I87" s="37" t="s">
        <v>232</v>
      </c>
      <c r="J87" s="37" t="s">
        <v>232</v>
      </c>
    </row>
    <row r="88" spans="2:11" x14ac:dyDescent="0.3">
      <c r="B88" s="37">
        <v>14</v>
      </c>
      <c r="C88" s="37" t="s">
        <v>221</v>
      </c>
      <c r="D88" s="37" t="s">
        <v>229</v>
      </c>
      <c r="E88" s="37" t="s">
        <v>232</v>
      </c>
      <c r="F88" s="37" t="s">
        <v>219</v>
      </c>
      <c r="G88" s="37" t="s">
        <v>223</v>
      </c>
      <c r="H88" s="37" t="s">
        <v>239</v>
      </c>
      <c r="I88" s="37" t="s">
        <v>232</v>
      </c>
      <c r="J88" s="37" t="s">
        <v>219</v>
      </c>
    </row>
    <row r="89" spans="2:11" x14ac:dyDescent="0.3">
      <c r="B89" s="37">
        <v>15</v>
      </c>
      <c r="C89" s="37" t="s">
        <v>219</v>
      </c>
      <c r="D89" s="37" t="s">
        <v>221</v>
      </c>
      <c r="E89" s="37" t="s">
        <v>232</v>
      </c>
      <c r="F89" s="37" t="s">
        <v>233</v>
      </c>
      <c r="G89" s="37" t="s">
        <v>223</v>
      </c>
      <c r="H89" s="37" t="s">
        <v>239</v>
      </c>
      <c r="I89" s="37" t="s">
        <v>232</v>
      </c>
      <c r="J89" s="37" t="s">
        <v>232</v>
      </c>
    </row>
    <row r="90" spans="2:11" x14ac:dyDescent="0.3">
      <c r="B90" s="37">
        <v>16</v>
      </c>
      <c r="C90" s="37" t="s">
        <v>219</v>
      </c>
      <c r="D90" s="37" t="s">
        <v>278</v>
      </c>
      <c r="E90" s="37" t="s">
        <v>232</v>
      </c>
      <c r="F90" s="37" t="s">
        <v>280</v>
      </c>
      <c r="G90" s="37" t="s">
        <v>223</v>
      </c>
      <c r="H90" s="37" t="s">
        <v>239</v>
      </c>
      <c r="I90" s="37" t="s">
        <v>232</v>
      </c>
      <c r="J90" s="37" t="s">
        <v>232</v>
      </c>
    </row>
    <row r="92" spans="2:11" ht="14.25" customHeight="1" x14ac:dyDescent="0.3">
      <c r="B92" s="60" t="s">
        <v>288</v>
      </c>
      <c r="C92" s="60"/>
      <c r="D92" s="60"/>
      <c r="E92" s="60"/>
      <c r="F92" s="60"/>
      <c r="G92" s="60"/>
      <c r="H92" s="60"/>
      <c r="I92" s="60"/>
      <c r="J92" s="60"/>
      <c r="K92" s="60"/>
    </row>
    <row r="93" spans="2:11" ht="27" customHeight="1" x14ac:dyDescent="0.3">
      <c r="B93" s="22" t="s">
        <v>289</v>
      </c>
      <c r="C93" s="22" t="s">
        <v>167</v>
      </c>
      <c r="D93" s="22" t="s">
        <v>169</v>
      </c>
      <c r="E93" s="22" t="s">
        <v>171</v>
      </c>
      <c r="F93" s="22" t="s">
        <v>177</v>
      </c>
      <c r="G93" s="22" t="s">
        <v>179</v>
      </c>
      <c r="H93" s="22" t="s">
        <v>175</v>
      </c>
      <c r="I93" s="22" t="s">
        <v>181</v>
      </c>
      <c r="J93" s="22" t="s">
        <v>183</v>
      </c>
      <c r="K93" s="22" t="s">
        <v>290</v>
      </c>
    </row>
    <row r="94" spans="2:11" ht="27" customHeight="1" x14ac:dyDescent="0.3">
      <c r="B94" s="31">
        <v>1</v>
      </c>
      <c r="C94" s="23" t="s">
        <v>258</v>
      </c>
      <c r="D94" s="23" t="s">
        <v>291</v>
      </c>
      <c r="E94" s="23" t="s">
        <v>223</v>
      </c>
      <c r="F94" s="3" t="s">
        <v>292</v>
      </c>
      <c r="G94" s="23" t="s">
        <v>223</v>
      </c>
      <c r="H94" s="23" t="s">
        <v>223</v>
      </c>
      <c r="I94" s="23" t="s">
        <v>293</v>
      </c>
      <c r="J94" s="3" t="s">
        <v>294</v>
      </c>
      <c r="K94" s="23" t="s">
        <v>295</v>
      </c>
    </row>
    <row r="95" spans="2:11" ht="27" customHeight="1" x14ac:dyDescent="0.3">
      <c r="B95" s="31">
        <v>2</v>
      </c>
      <c r="C95" s="23" t="s">
        <v>224</v>
      </c>
      <c r="D95" s="23" t="s">
        <v>296</v>
      </c>
      <c r="E95" s="23" t="s">
        <v>232</v>
      </c>
      <c r="F95" s="23" t="s">
        <v>297</v>
      </c>
      <c r="G95" s="3" t="s">
        <v>298</v>
      </c>
      <c r="H95" s="23" t="s">
        <v>240</v>
      </c>
      <c r="I95" s="23" t="s">
        <v>228</v>
      </c>
      <c r="J95" s="3" t="s">
        <v>299</v>
      </c>
      <c r="K95" s="23" t="s">
        <v>300</v>
      </c>
    </row>
    <row r="96" spans="2:11" ht="27" customHeight="1" x14ac:dyDescent="0.3">
      <c r="B96" s="31">
        <v>3</v>
      </c>
      <c r="C96" s="23" t="s">
        <v>219</v>
      </c>
      <c r="D96" s="23" t="s">
        <v>225</v>
      </c>
      <c r="E96" s="23" t="s">
        <v>219</v>
      </c>
      <c r="F96" s="23" t="s">
        <v>219</v>
      </c>
      <c r="G96" s="23" t="s">
        <v>223</v>
      </c>
      <c r="H96" s="23" t="s">
        <v>239</v>
      </c>
      <c r="I96" s="23" t="s">
        <v>228</v>
      </c>
      <c r="J96" s="23" t="s">
        <v>301</v>
      </c>
      <c r="K96" s="23" t="s">
        <v>302</v>
      </c>
    </row>
    <row r="97" spans="2:11" ht="27" customHeight="1" x14ac:dyDescent="0.3">
      <c r="B97" s="31">
        <v>4</v>
      </c>
      <c r="C97" s="23" t="s">
        <v>221</v>
      </c>
      <c r="D97" s="23" t="s">
        <v>303</v>
      </c>
      <c r="E97" s="23" t="s">
        <v>232</v>
      </c>
      <c r="F97" s="3" t="s">
        <v>304</v>
      </c>
      <c r="G97" s="23" t="s">
        <v>223</v>
      </c>
      <c r="H97" s="23" t="s">
        <v>239</v>
      </c>
      <c r="I97" s="23" t="s">
        <v>232</v>
      </c>
      <c r="J97" s="23" t="s">
        <v>305</v>
      </c>
      <c r="K97" s="23" t="s">
        <v>302</v>
      </c>
    </row>
    <row r="99" spans="2:11" ht="14.25" customHeight="1" x14ac:dyDescent="0.3">
      <c r="B99" s="61" t="s">
        <v>306</v>
      </c>
      <c r="C99" s="61"/>
      <c r="D99" s="61"/>
      <c r="E99" s="61"/>
      <c r="F99" s="61"/>
      <c r="G99" s="61"/>
      <c r="H99" s="61"/>
    </row>
    <row r="100" spans="2:11" ht="27" customHeight="1" x14ac:dyDescent="0.3">
      <c r="B100" s="27" t="s">
        <v>255</v>
      </c>
      <c r="C100" s="27" t="s">
        <v>167</v>
      </c>
      <c r="D100" s="27" t="s">
        <v>307</v>
      </c>
      <c r="E100" s="27" t="s">
        <v>308</v>
      </c>
      <c r="F100" s="27" t="s">
        <v>309</v>
      </c>
      <c r="G100" s="27" t="s">
        <v>181</v>
      </c>
      <c r="H100" s="27" t="s">
        <v>310</v>
      </c>
    </row>
    <row r="101" spans="2:11" ht="27" customHeight="1" x14ac:dyDescent="0.3">
      <c r="B101" s="22" t="s">
        <v>255</v>
      </c>
      <c r="C101" s="22" t="s">
        <v>167</v>
      </c>
      <c r="D101" s="22" t="s">
        <v>311</v>
      </c>
      <c r="E101" s="22" t="s">
        <v>308</v>
      </c>
      <c r="F101" s="22" t="s">
        <v>312</v>
      </c>
      <c r="G101" s="22" t="s">
        <v>181</v>
      </c>
      <c r="H101" s="22" t="s">
        <v>313</v>
      </c>
    </row>
    <row r="102" spans="2:11" x14ac:dyDescent="0.3">
      <c r="B102" s="38">
        <v>1</v>
      </c>
      <c r="C102" s="23">
        <v>4</v>
      </c>
      <c r="D102" s="23">
        <v>4</v>
      </c>
      <c r="E102" s="23">
        <v>5</v>
      </c>
      <c r="F102" s="23">
        <v>4</v>
      </c>
      <c r="G102" s="23">
        <v>3</v>
      </c>
      <c r="H102" s="39">
        <f t="shared" ref="H102:H108" si="0">AVERAGE(C102:G102)</f>
        <v>4</v>
      </c>
    </row>
    <row r="103" spans="2:11" x14ac:dyDescent="0.3">
      <c r="B103" s="38">
        <v>2</v>
      </c>
      <c r="C103" s="23">
        <v>3</v>
      </c>
      <c r="D103" s="23">
        <v>5</v>
      </c>
      <c r="E103" s="23">
        <v>3</v>
      </c>
      <c r="F103" s="23">
        <v>4</v>
      </c>
      <c r="G103" s="23">
        <v>3</v>
      </c>
      <c r="H103" s="39">
        <f t="shared" si="0"/>
        <v>3.6</v>
      </c>
    </row>
    <row r="104" spans="2:11" x14ac:dyDescent="0.3">
      <c r="B104" s="38">
        <v>3</v>
      </c>
      <c r="C104" s="23">
        <v>3</v>
      </c>
      <c r="D104" s="23">
        <v>5</v>
      </c>
      <c r="E104" s="23">
        <v>3</v>
      </c>
      <c r="F104" s="23">
        <v>4</v>
      </c>
      <c r="G104" s="23">
        <v>3</v>
      </c>
      <c r="H104" s="39">
        <f t="shared" si="0"/>
        <v>3.6</v>
      </c>
    </row>
    <row r="105" spans="2:11" x14ac:dyDescent="0.3">
      <c r="B105" s="38">
        <v>4</v>
      </c>
      <c r="C105" s="23">
        <v>3</v>
      </c>
      <c r="D105" s="23">
        <v>5</v>
      </c>
      <c r="E105" s="23">
        <v>4</v>
      </c>
      <c r="F105" s="23">
        <v>2</v>
      </c>
      <c r="G105" s="23">
        <v>3</v>
      </c>
      <c r="H105" s="39">
        <f t="shared" si="0"/>
        <v>3.4</v>
      </c>
    </row>
    <row r="106" spans="2:11" x14ac:dyDescent="0.3">
      <c r="B106" s="38">
        <v>5</v>
      </c>
      <c r="C106" s="23">
        <v>2</v>
      </c>
      <c r="D106" s="23">
        <v>5</v>
      </c>
      <c r="E106" s="23">
        <v>2</v>
      </c>
      <c r="F106" s="23">
        <v>3</v>
      </c>
      <c r="G106" s="23">
        <v>3</v>
      </c>
      <c r="H106" s="39">
        <f t="shared" si="0"/>
        <v>3</v>
      </c>
    </row>
    <row r="107" spans="2:11" x14ac:dyDescent="0.3">
      <c r="B107" s="38">
        <v>6</v>
      </c>
      <c r="C107" s="23">
        <v>3</v>
      </c>
      <c r="D107" s="23">
        <v>3</v>
      </c>
      <c r="E107" s="23">
        <v>4</v>
      </c>
      <c r="F107" s="23">
        <v>4</v>
      </c>
      <c r="G107" s="23">
        <v>3</v>
      </c>
      <c r="H107" s="39">
        <f t="shared" si="0"/>
        <v>3.4</v>
      </c>
    </row>
    <row r="108" spans="2:11" x14ac:dyDescent="0.3">
      <c r="B108" s="38">
        <v>7</v>
      </c>
      <c r="C108" s="23">
        <v>2</v>
      </c>
      <c r="D108" s="23">
        <v>1</v>
      </c>
      <c r="E108" s="23">
        <v>5</v>
      </c>
      <c r="F108" s="23">
        <v>5</v>
      </c>
      <c r="G108" s="23">
        <v>3</v>
      </c>
      <c r="H108" s="39">
        <f t="shared" si="0"/>
        <v>3.2</v>
      </c>
    </row>
  </sheetData>
  <mergeCells count="24">
    <mergeCell ref="B1:F1"/>
    <mergeCell ref="C2:F2"/>
    <mergeCell ref="C3:F3"/>
    <mergeCell ref="C4:F4"/>
    <mergeCell ref="C5:F5"/>
    <mergeCell ref="C6:F6"/>
    <mergeCell ref="C7:F7"/>
    <mergeCell ref="C8:E8"/>
    <mergeCell ref="B10:E10"/>
    <mergeCell ref="C11:E11"/>
    <mergeCell ref="C12:E12"/>
    <mergeCell ref="C13:E13"/>
    <mergeCell ref="C14:E14"/>
    <mergeCell ref="B16:D16"/>
    <mergeCell ref="B23:C23"/>
    <mergeCell ref="B56:J56"/>
    <mergeCell ref="B83:J83"/>
    <mergeCell ref="B92:K92"/>
    <mergeCell ref="B99:H99"/>
    <mergeCell ref="B36:E36"/>
    <mergeCell ref="C37:E37"/>
    <mergeCell ref="C38:E38"/>
    <mergeCell ref="C39:E39"/>
    <mergeCell ref="C40:E40"/>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L131"/>
  <sheetViews>
    <sheetView zoomScale="55" zoomScaleNormal="55" workbookViewId="0">
      <selection activeCell="C126" sqref="C126"/>
    </sheetView>
  </sheetViews>
  <sheetFormatPr defaultColWidth="8.88671875" defaultRowHeight="14.4" x14ac:dyDescent="0.3"/>
  <cols>
    <col min="1" max="1" width="8.88671875" style="13"/>
    <col min="2" max="2" width="17.6640625" style="13" customWidth="1"/>
    <col min="3" max="4" width="8.88671875" style="13"/>
    <col min="5" max="5" width="27.44140625" style="13" customWidth="1"/>
    <col min="6" max="7" width="8.88671875" style="13"/>
    <col min="8" max="8" width="15.21875" style="13" customWidth="1"/>
    <col min="9" max="9" width="8.6640625" style="13" customWidth="1"/>
    <col min="10" max="10" width="8.88671875" style="13"/>
    <col min="11" max="11" width="13.6640625" style="13" customWidth="1"/>
    <col min="12" max="12" width="8.6640625" style="13" customWidth="1"/>
    <col min="13" max="16384" width="8.88671875" style="13"/>
  </cols>
  <sheetData>
    <row r="1" spans="2:5" ht="14.25" customHeight="1" x14ac:dyDescent="0.3">
      <c r="B1" s="62" t="s">
        <v>130</v>
      </c>
      <c r="C1" s="62"/>
      <c r="D1" s="62"/>
      <c r="E1" s="62"/>
    </row>
    <row r="2" spans="2:5" ht="14.25" customHeight="1" x14ac:dyDescent="0.3">
      <c r="B2" s="16" t="s">
        <v>131</v>
      </c>
      <c r="C2" s="68" t="s">
        <v>18</v>
      </c>
      <c r="D2" s="68"/>
      <c r="E2" s="68"/>
    </row>
    <row r="3" spans="2:5" ht="28.35" customHeight="1" x14ac:dyDescent="0.3">
      <c r="B3" s="16" t="s">
        <v>132</v>
      </c>
      <c r="C3" s="68" t="s">
        <v>314</v>
      </c>
      <c r="D3" s="68"/>
      <c r="E3" s="68"/>
    </row>
    <row r="4" spans="2:5" ht="14.25" customHeight="1" x14ac:dyDescent="0.3">
      <c r="B4" s="16" t="s">
        <v>134</v>
      </c>
      <c r="C4" s="68" t="s">
        <v>315</v>
      </c>
      <c r="D4" s="68"/>
      <c r="E4" s="68"/>
    </row>
    <row r="5" spans="2:5" ht="28.35" customHeight="1" x14ac:dyDescent="0.3">
      <c r="B5" s="16" t="s">
        <v>136</v>
      </c>
      <c r="C5" s="68" t="s">
        <v>316</v>
      </c>
      <c r="D5" s="68"/>
      <c r="E5" s="68"/>
    </row>
    <row r="6" spans="2:5" ht="14.25" customHeight="1" x14ac:dyDescent="0.3">
      <c r="B6" s="16" t="s">
        <v>138</v>
      </c>
      <c r="C6" s="68" t="s">
        <v>317</v>
      </c>
      <c r="D6" s="68"/>
      <c r="E6" s="68"/>
    </row>
    <row r="7" spans="2:5" ht="28.35" customHeight="1" x14ac:dyDescent="0.3">
      <c r="B7" s="16" t="s">
        <v>140</v>
      </c>
      <c r="C7" s="68" t="s">
        <v>318</v>
      </c>
      <c r="D7" s="68"/>
      <c r="E7" s="68"/>
    </row>
    <row r="9" spans="2:5" ht="15" customHeight="1" x14ac:dyDescent="0.3">
      <c r="B9" s="17" t="s">
        <v>142</v>
      </c>
      <c r="C9" s="34"/>
      <c r="D9" s="34"/>
      <c r="E9" s="34"/>
    </row>
    <row r="10" spans="2:5" ht="14.25" customHeight="1" x14ac:dyDescent="0.3">
      <c r="B10" s="60" t="s">
        <v>143</v>
      </c>
      <c r="C10" s="60"/>
      <c r="D10" s="60"/>
      <c r="E10" s="60"/>
    </row>
    <row r="11" spans="2:5" ht="41.25" customHeight="1" x14ac:dyDescent="0.3">
      <c r="B11" s="31" t="s">
        <v>319</v>
      </c>
      <c r="C11" s="63" t="s">
        <v>320</v>
      </c>
      <c r="D11" s="63"/>
      <c r="E11" s="63"/>
    </row>
    <row r="12" spans="2:5" ht="41.25" customHeight="1" x14ac:dyDescent="0.3">
      <c r="B12" s="31" t="s">
        <v>321</v>
      </c>
      <c r="C12" s="63" t="s">
        <v>322</v>
      </c>
      <c r="D12" s="63"/>
      <c r="E12" s="63"/>
    </row>
    <row r="13" spans="2:5" ht="27" customHeight="1" x14ac:dyDescent="0.3">
      <c r="B13" s="31" t="s">
        <v>323</v>
      </c>
      <c r="C13" s="63" t="s">
        <v>324</v>
      </c>
      <c r="D13" s="63"/>
      <c r="E13" s="63"/>
    </row>
    <row r="14" spans="2:5" ht="27" customHeight="1" x14ac:dyDescent="0.3">
      <c r="B14" s="31" t="s">
        <v>325</v>
      </c>
      <c r="C14" s="63" t="s">
        <v>326</v>
      </c>
      <c r="D14" s="63"/>
      <c r="E14" s="63"/>
    </row>
    <row r="15" spans="2:5" ht="27" customHeight="1" x14ac:dyDescent="0.3">
      <c r="B15" s="31" t="s">
        <v>327</v>
      </c>
      <c r="C15" s="63" t="s">
        <v>328</v>
      </c>
      <c r="D15" s="63"/>
      <c r="E15" s="63"/>
    </row>
    <row r="16" spans="2:5" ht="27" customHeight="1" x14ac:dyDescent="0.3">
      <c r="B16" s="31" t="s">
        <v>329</v>
      </c>
      <c r="C16" s="63" t="s">
        <v>330</v>
      </c>
      <c r="D16" s="63"/>
      <c r="E16" s="63"/>
    </row>
    <row r="17" spans="2:5" ht="27" customHeight="1" x14ac:dyDescent="0.3">
      <c r="B17" s="40" t="s">
        <v>331</v>
      </c>
      <c r="C17" s="63" t="s">
        <v>332</v>
      </c>
      <c r="D17" s="63"/>
      <c r="E17" s="63"/>
    </row>
    <row r="19" spans="2:5" ht="14.25" customHeight="1" x14ac:dyDescent="0.3">
      <c r="B19" s="60" t="s">
        <v>152</v>
      </c>
      <c r="C19" s="60"/>
      <c r="D19" s="60"/>
    </row>
    <row r="20" spans="2:5" x14ac:dyDescent="0.3">
      <c r="B20" s="22" t="s">
        <v>153</v>
      </c>
      <c r="C20" s="22" t="s">
        <v>154</v>
      </c>
      <c r="D20" s="22" t="s">
        <v>155</v>
      </c>
    </row>
    <row r="21" spans="2:5" ht="82.5" customHeight="1" x14ac:dyDescent="0.3">
      <c r="B21" s="41">
        <v>1</v>
      </c>
      <c r="C21" s="3" t="s">
        <v>333</v>
      </c>
      <c r="D21" s="41" t="s">
        <v>334</v>
      </c>
    </row>
    <row r="22" spans="2:5" ht="69" customHeight="1" x14ac:dyDescent="0.3">
      <c r="B22" s="41">
        <v>2</v>
      </c>
      <c r="C22" s="3" t="s">
        <v>335</v>
      </c>
      <c r="D22" s="41" t="s">
        <v>336</v>
      </c>
    </row>
    <row r="23" spans="2:5" ht="82.5" customHeight="1" x14ac:dyDescent="0.3">
      <c r="B23" s="41">
        <v>3</v>
      </c>
      <c r="C23" s="3" t="s">
        <v>337</v>
      </c>
      <c r="D23" s="41" t="s">
        <v>338</v>
      </c>
    </row>
    <row r="24" spans="2:5" ht="54.75" customHeight="1" x14ac:dyDescent="0.3">
      <c r="B24" s="41">
        <v>4</v>
      </c>
      <c r="C24" s="3" t="s">
        <v>339</v>
      </c>
      <c r="D24" s="41" t="s">
        <v>340</v>
      </c>
    </row>
    <row r="25" spans="2:5" ht="54.75" customHeight="1" x14ac:dyDescent="0.3">
      <c r="B25" s="41">
        <v>5</v>
      </c>
      <c r="C25" s="3" t="s">
        <v>341</v>
      </c>
      <c r="D25" s="41" t="s">
        <v>342</v>
      </c>
    </row>
    <row r="26" spans="2:5" ht="69" customHeight="1" x14ac:dyDescent="0.3">
      <c r="B26" s="41">
        <v>6</v>
      </c>
      <c r="C26" s="3" t="s">
        <v>343</v>
      </c>
      <c r="D26" s="41" t="s">
        <v>159</v>
      </c>
    </row>
    <row r="27" spans="2:5" ht="82.5" customHeight="1" x14ac:dyDescent="0.3">
      <c r="B27" s="41">
        <v>7</v>
      </c>
      <c r="C27" s="3" t="s">
        <v>344</v>
      </c>
      <c r="D27" s="41" t="s">
        <v>345</v>
      </c>
    </row>
    <row r="28" spans="2:5" ht="69" customHeight="1" x14ac:dyDescent="0.3">
      <c r="B28" s="41">
        <v>8</v>
      </c>
      <c r="C28" s="3" t="s">
        <v>346</v>
      </c>
      <c r="D28" s="41" t="s">
        <v>347</v>
      </c>
    </row>
    <row r="29" spans="2:5" ht="69" customHeight="1" x14ac:dyDescent="0.3">
      <c r="B29" s="41">
        <v>9</v>
      </c>
      <c r="C29" s="3" t="s">
        <v>348</v>
      </c>
      <c r="D29" s="41" t="s">
        <v>349</v>
      </c>
    </row>
    <row r="30" spans="2:5" ht="82.5" customHeight="1" x14ac:dyDescent="0.3">
      <c r="B30" s="41">
        <v>10</v>
      </c>
      <c r="C30" s="3" t="s">
        <v>350</v>
      </c>
      <c r="D30" s="41" t="s">
        <v>347</v>
      </c>
    </row>
    <row r="31" spans="2:5" ht="69" customHeight="1" x14ac:dyDescent="0.3">
      <c r="B31" s="41">
        <v>11</v>
      </c>
      <c r="C31" s="3" t="s">
        <v>351</v>
      </c>
      <c r="D31" s="41" t="s">
        <v>352</v>
      </c>
    </row>
    <row r="33" spans="2:3" ht="14.25" customHeight="1" x14ac:dyDescent="0.3">
      <c r="B33" s="60" t="s">
        <v>164</v>
      </c>
      <c r="C33" s="60"/>
    </row>
    <row r="34" spans="2:3" x14ac:dyDescent="0.3">
      <c r="B34" s="22" t="s">
        <v>165</v>
      </c>
      <c r="C34" s="22" t="s">
        <v>166</v>
      </c>
    </row>
    <row r="35" spans="2:3" ht="82.5" customHeight="1" x14ac:dyDescent="0.3">
      <c r="B35" s="31" t="s">
        <v>353</v>
      </c>
      <c r="C35" s="3" t="s">
        <v>354</v>
      </c>
    </row>
    <row r="36" spans="2:3" ht="123.75" customHeight="1" x14ac:dyDescent="0.3">
      <c r="B36" s="31" t="s">
        <v>167</v>
      </c>
      <c r="C36" s="3" t="s">
        <v>355</v>
      </c>
    </row>
    <row r="37" spans="2:3" ht="110.25" customHeight="1" x14ac:dyDescent="0.3">
      <c r="B37" s="31" t="s">
        <v>169</v>
      </c>
      <c r="C37" s="3" t="s">
        <v>356</v>
      </c>
    </row>
    <row r="38" spans="2:3" ht="96" customHeight="1" x14ac:dyDescent="0.3">
      <c r="B38" s="31" t="s">
        <v>357</v>
      </c>
      <c r="C38" s="3" t="s">
        <v>358</v>
      </c>
    </row>
    <row r="39" spans="2:3" ht="82.5" customHeight="1" x14ac:dyDescent="0.3">
      <c r="B39" s="31" t="s">
        <v>359</v>
      </c>
      <c r="C39" s="3" t="s">
        <v>360</v>
      </c>
    </row>
    <row r="40" spans="2:3" ht="96" customHeight="1" x14ac:dyDescent="0.3">
      <c r="B40" s="31" t="s">
        <v>171</v>
      </c>
      <c r="C40" s="3" t="s">
        <v>361</v>
      </c>
    </row>
    <row r="41" spans="2:3" ht="82.5" customHeight="1" x14ac:dyDescent="0.3">
      <c r="B41" s="31" t="s">
        <v>173</v>
      </c>
      <c r="C41" s="3" t="s">
        <v>362</v>
      </c>
    </row>
    <row r="42" spans="2:3" ht="96" customHeight="1" x14ac:dyDescent="0.3">
      <c r="B42" s="31" t="s">
        <v>175</v>
      </c>
      <c r="C42" s="3" t="s">
        <v>363</v>
      </c>
    </row>
    <row r="43" spans="2:3" ht="110.25" customHeight="1" x14ac:dyDescent="0.3">
      <c r="B43" s="31" t="s">
        <v>177</v>
      </c>
      <c r="C43" s="3" t="s">
        <v>364</v>
      </c>
    </row>
    <row r="44" spans="2:3" ht="54.75" customHeight="1" x14ac:dyDescent="0.3">
      <c r="B44" s="31" t="s">
        <v>179</v>
      </c>
      <c r="C44" s="3" t="s">
        <v>365</v>
      </c>
    </row>
    <row r="45" spans="2:3" ht="110.25" customHeight="1" x14ac:dyDescent="0.3">
      <c r="B45" s="31" t="s">
        <v>181</v>
      </c>
      <c r="C45" s="3" t="s">
        <v>366</v>
      </c>
    </row>
    <row r="46" spans="2:3" ht="96" customHeight="1" x14ac:dyDescent="0.3">
      <c r="B46" s="31" t="s">
        <v>183</v>
      </c>
      <c r="C46" s="3" t="s">
        <v>367</v>
      </c>
    </row>
    <row r="48" spans="2:3" ht="41.25" customHeight="1" x14ac:dyDescent="0.3">
      <c r="B48" s="42" t="s">
        <v>368</v>
      </c>
      <c r="C48" s="43" t="s">
        <v>369</v>
      </c>
    </row>
    <row r="49" spans="2:10" ht="138" customHeight="1" x14ac:dyDescent="0.3">
      <c r="B49" s="31" t="s">
        <v>370</v>
      </c>
      <c r="C49" s="25" t="s">
        <v>371</v>
      </c>
    </row>
    <row r="50" spans="2:10" ht="138" customHeight="1" x14ac:dyDescent="0.3">
      <c r="B50" s="31" t="s">
        <v>372</v>
      </c>
      <c r="C50" s="25" t="s">
        <v>373</v>
      </c>
    </row>
    <row r="51" spans="2:10" ht="110.25" customHeight="1" x14ac:dyDescent="0.3">
      <c r="B51" s="31" t="s">
        <v>374</v>
      </c>
      <c r="C51" s="25" t="s">
        <v>375</v>
      </c>
    </row>
    <row r="52" spans="2:10" ht="96" customHeight="1" x14ac:dyDescent="0.3">
      <c r="B52" s="31" t="s">
        <v>376</v>
      </c>
      <c r="C52" s="25" t="s">
        <v>377</v>
      </c>
    </row>
    <row r="53" spans="2:10" ht="110.25" customHeight="1" x14ac:dyDescent="0.3">
      <c r="B53" s="31" t="s">
        <v>378</v>
      </c>
      <c r="C53" s="25" t="s">
        <v>379</v>
      </c>
    </row>
    <row r="54" spans="2:10" ht="110.25" customHeight="1" x14ac:dyDescent="0.3">
      <c r="B54" s="31" t="s">
        <v>380</v>
      </c>
      <c r="C54" s="25" t="s">
        <v>381</v>
      </c>
    </row>
    <row r="56" spans="2:10" ht="15" customHeight="1" x14ac:dyDescent="0.3">
      <c r="B56" s="17" t="s">
        <v>382</v>
      </c>
      <c r="C56" s="34"/>
      <c r="D56" s="34"/>
      <c r="E56" s="34"/>
    </row>
    <row r="57" spans="2:10" ht="14.25" customHeight="1" x14ac:dyDescent="0.3">
      <c r="B57" s="62" t="s">
        <v>383</v>
      </c>
      <c r="C57" s="62"/>
      <c r="D57" s="62"/>
      <c r="E57" s="62"/>
    </row>
    <row r="58" spans="2:10" ht="28.5" customHeight="1" x14ac:dyDescent="0.3">
      <c r="B58" s="35" t="s">
        <v>384</v>
      </c>
      <c r="C58" s="63" t="s">
        <v>385</v>
      </c>
      <c r="D58" s="63"/>
      <c r="E58" s="63"/>
    </row>
    <row r="59" spans="2:10" ht="22.35" customHeight="1" x14ac:dyDescent="0.3">
      <c r="B59" s="35" t="s">
        <v>386</v>
      </c>
      <c r="C59" s="63" t="s">
        <v>387</v>
      </c>
      <c r="D59" s="63"/>
      <c r="E59" s="63"/>
    </row>
    <row r="60" spans="2:10" ht="72" customHeight="1" x14ac:dyDescent="0.3">
      <c r="B60" s="35" t="s">
        <v>388</v>
      </c>
      <c r="C60" s="64" t="s">
        <v>389</v>
      </c>
      <c r="D60" s="64"/>
      <c r="E60" s="64"/>
    </row>
    <row r="61" spans="2:10" ht="28.5" customHeight="1" x14ac:dyDescent="0.3">
      <c r="B61" s="35" t="s">
        <v>390</v>
      </c>
      <c r="C61" s="68" t="s">
        <v>391</v>
      </c>
      <c r="D61" s="68"/>
      <c r="E61" s="68"/>
    </row>
    <row r="62" spans="2:10" ht="57" customHeight="1" x14ac:dyDescent="0.3">
      <c r="B62" s="35" t="s">
        <v>392</v>
      </c>
      <c r="C62" s="68" t="s">
        <v>393</v>
      </c>
      <c r="D62" s="68"/>
      <c r="E62" s="68"/>
    </row>
    <row r="64" spans="2:10" ht="30.75" customHeight="1" x14ac:dyDescent="0.3">
      <c r="B64" s="17" t="s">
        <v>195</v>
      </c>
      <c r="C64" s="34"/>
      <c r="D64" s="34"/>
      <c r="E64" s="34"/>
      <c r="F64" s="34"/>
      <c r="G64" s="34"/>
      <c r="H64" s="34"/>
      <c r="I64" s="34"/>
      <c r="J64" s="34"/>
    </row>
    <row r="65" spans="2:12" ht="27" customHeight="1" x14ac:dyDescent="0.3">
      <c r="B65" s="26" t="s">
        <v>196</v>
      </c>
      <c r="C65" s="26" t="s">
        <v>197</v>
      </c>
      <c r="D65" s="26">
        <v>2</v>
      </c>
      <c r="E65" s="26">
        <v>3</v>
      </c>
      <c r="F65" s="26">
        <v>4</v>
      </c>
      <c r="G65" s="26">
        <v>5</v>
      </c>
      <c r="H65" s="26">
        <v>6</v>
      </c>
      <c r="I65" s="26">
        <v>7</v>
      </c>
      <c r="J65" s="26">
        <v>8</v>
      </c>
      <c r="K65" s="26">
        <v>9</v>
      </c>
      <c r="L65" s="26">
        <v>10</v>
      </c>
    </row>
    <row r="66" spans="2:12" ht="69" customHeight="1" x14ac:dyDescent="0.3">
      <c r="B66" s="27" t="s">
        <v>130</v>
      </c>
      <c r="C66" s="27" t="s">
        <v>394</v>
      </c>
      <c r="D66" s="27" t="s">
        <v>395</v>
      </c>
      <c r="E66" s="27" t="s">
        <v>396</v>
      </c>
      <c r="F66" s="27" t="s">
        <v>397</v>
      </c>
      <c r="G66" s="27" t="s">
        <v>398</v>
      </c>
      <c r="H66" s="27" t="s">
        <v>399</v>
      </c>
      <c r="I66" s="27" t="s">
        <v>400</v>
      </c>
      <c r="J66" s="27" t="s">
        <v>401</v>
      </c>
      <c r="K66" s="27" t="s">
        <v>402</v>
      </c>
      <c r="L66" s="27" t="s">
        <v>403</v>
      </c>
    </row>
    <row r="67" spans="2:12" ht="82.5" customHeight="1" x14ac:dyDescent="0.3">
      <c r="B67" s="16" t="s">
        <v>208</v>
      </c>
      <c r="C67" s="3" t="s">
        <v>404</v>
      </c>
      <c r="D67" s="3" t="s">
        <v>405</v>
      </c>
      <c r="E67" s="3" t="s">
        <v>406</v>
      </c>
      <c r="F67" s="3" t="s">
        <v>407</v>
      </c>
      <c r="G67" s="3" t="s">
        <v>408</v>
      </c>
      <c r="H67" s="3" t="s">
        <v>409</v>
      </c>
      <c r="I67" s="3" t="s">
        <v>410</v>
      </c>
      <c r="J67" s="3" t="s">
        <v>411</v>
      </c>
      <c r="K67" s="3" t="s">
        <v>412</v>
      </c>
      <c r="L67" s="3" t="s">
        <v>413</v>
      </c>
    </row>
    <row r="68" spans="2:12" ht="41.25" customHeight="1" x14ac:dyDescent="0.3">
      <c r="B68" s="16" t="s">
        <v>167</v>
      </c>
      <c r="C68" s="3" t="s">
        <v>414</v>
      </c>
      <c r="D68" s="23" t="s">
        <v>221</v>
      </c>
      <c r="E68" s="23" t="s">
        <v>221</v>
      </c>
      <c r="F68" s="23" t="s">
        <v>223</v>
      </c>
      <c r="G68" s="23" t="s">
        <v>277</v>
      </c>
      <c r="H68" s="23" t="s">
        <v>223</v>
      </c>
      <c r="I68" s="23" t="s">
        <v>277</v>
      </c>
      <c r="J68" s="23" t="s">
        <v>224</v>
      </c>
      <c r="K68" s="3" t="s">
        <v>415</v>
      </c>
      <c r="L68" s="23" t="s">
        <v>416</v>
      </c>
    </row>
    <row r="69" spans="2:12" ht="27" customHeight="1" x14ac:dyDescent="0.3">
      <c r="B69" s="16" t="s">
        <v>169</v>
      </c>
      <c r="C69" s="23" t="s">
        <v>232</v>
      </c>
      <c r="D69" s="23" t="s">
        <v>233</v>
      </c>
      <c r="E69" s="23" t="s">
        <v>233</v>
      </c>
      <c r="F69" s="23" t="s">
        <v>233</v>
      </c>
      <c r="G69" s="23" t="s">
        <v>228</v>
      </c>
      <c r="H69" s="23" t="s">
        <v>417</v>
      </c>
      <c r="I69" s="23" t="s">
        <v>233</v>
      </c>
      <c r="J69" s="23" t="s">
        <v>229</v>
      </c>
      <c r="K69" s="23" t="s">
        <v>418</v>
      </c>
      <c r="L69" s="23" t="s">
        <v>229</v>
      </c>
    </row>
    <row r="70" spans="2:12" ht="27" customHeight="1" x14ac:dyDescent="0.3">
      <c r="B70" s="16" t="s">
        <v>231</v>
      </c>
      <c r="C70" s="23" t="s">
        <v>277</v>
      </c>
      <c r="D70" s="23" t="s">
        <v>219</v>
      </c>
      <c r="E70" s="23" t="s">
        <v>219</v>
      </c>
      <c r="F70" s="23" t="s">
        <v>221</v>
      </c>
      <c r="G70" s="23" t="s">
        <v>219</v>
      </c>
      <c r="H70" s="23" t="s">
        <v>219</v>
      </c>
      <c r="I70" s="23" t="s">
        <v>219</v>
      </c>
      <c r="J70" s="23" t="s">
        <v>221</v>
      </c>
      <c r="K70" s="23" t="s">
        <v>221</v>
      </c>
      <c r="L70" s="23" t="s">
        <v>419</v>
      </c>
    </row>
    <row r="71" spans="2:12" x14ac:dyDescent="0.3">
      <c r="B71" s="16" t="s">
        <v>177</v>
      </c>
      <c r="C71" s="23" t="s">
        <v>233</v>
      </c>
      <c r="D71" s="23" t="s">
        <v>233</v>
      </c>
      <c r="E71" s="23" t="s">
        <v>233</v>
      </c>
      <c r="F71" s="23" t="s">
        <v>233</v>
      </c>
      <c r="G71" s="23" t="s">
        <v>233</v>
      </c>
      <c r="H71" s="23" t="s">
        <v>233</v>
      </c>
      <c r="I71" s="23" t="s">
        <v>233</v>
      </c>
      <c r="J71" s="23" t="s">
        <v>233</v>
      </c>
      <c r="K71" s="23" t="s">
        <v>233</v>
      </c>
      <c r="L71" s="23" t="s">
        <v>420</v>
      </c>
    </row>
    <row r="72" spans="2:12" x14ac:dyDescent="0.3">
      <c r="B72" s="16" t="s">
        <v>179</v>
      </c>
      <c r="C72" s="23" t="s">
        <v>223</v>
      </c>
      <c r="D72" s="23" t="s">
        <v>223</v>
      </c>
      <c r="E72" s="23" t="s">
        <v>223</v>
      </c>
      <c r="F72" s="23" t="s">
        <v>223</v>
      </c>
      <c r="G72" s="23" t="s">
        <v>228</v>
      </c>
      <c r="H72" s="23" t="s">
        <v>223</v>
      </c>
      <c r="I72" s="23" t="s">
        <v>223</v>
      </c>
      <c r="J72" s="23" t="s">
        <v>223</v>
      </c>
      <c r="K72" s="23" t="s">
        <v>223</v>
      </c>
      <c r="L72" s="23" t="s">
        <v>421</v>
      </c>
    </row>
    <row r="73" spans="2:12" ht="27" customHeight="1" x14ac:dyDescent="0.3">
      <c r="B73" s="16" t="s">
        <v>238</v>
      </c>
      <c r="C73" s="23" t="s">
        <v>225</v>
      </c>
      <c r="D73" s="23" t="s">
        <v>225</v>
      </c>
      <c r="E73" s="23" t="s">
        <v>225</v>
      </c>
      <c r="F73" s="23" t="s">
        <v>422</v>
      </c>
      <c r="G73" s="23" t="s">
        <v>232</v>
      </c>
      <c r="H73" s="23" t="s">
        <v>225</v>
      </c>
      <c r="I73" s="23" t="s">
        <v>225</v>
      </c>
      <c r="J73" s="23" t="s">
        <v>225</v>
      </c>
      <c r="K73" s="23" t="s">
        <v>225</v>
      </c>
      <c r="L73" s="23" t="s">
        <v>423</v>
      </c>
    </row>
    <row r="74" spans="2:12" x14ac:dyDescent="0.3">
      <c r="B74" s="16" t="s">
        <v>181</v>
      </c>
      <c r="C74" s="23" t="s">
        <v>221</v>
      </c>
      <c r="D74" s="23" t="s">
        <v>221</v>
      </c>
      <c r="E74" s="23" t="s">
        <v>221</v>
      </c>
      <c r="F74" s="23" t="s">
        <v>424</v>
      </c>
      <c r="G74" s="23" t="s">
        <v>221</v>
      </c>
      <c r="H74" s="23" t="s">
        <v>232</v>
      </c>
      <c r="I74" s="23" t="s">
        <v>232</v>
      </c>
      <c r="J74" s="23" t="s">
        <v>232</v>
      </c>
      <c r="K74" s="23" t="s">
        <v>221</v>
      </c>
      <c r="L74" s="23" t="s">
        <v>223</v>
      </c>
    </row>
    <row r="75" spans="2:12" x14ac:dyDescent="0.3">
      <c r="B75" s="16" t="s">
        <v>183</v>
      </c>
      <c r="C75" s="23" t="s">
        <v>277</v>
      </c>
      <c r="D75" s="23" t="s">
        <v>228</v>
      </c>
      <c r="E75" s="23" t="s">
        <v>228</v>
      </c>
      <c r="F75" s="23" t="s">
        <v>228</v>
      </c>
      <c r="G75" s="23" t="s">
        <v>277</v>
      </c>
      <c r="H75" s="23" t="s">
        <v>228</v>
      </c>
      <c r="I75" s="23" t="s">
        <v>228</v>
      </c>
      <c r="J75" s="23" t="s">
        <v>228</v>
      </c>
      <c r="K75" s="23" t="s">
        <v>228</v>
      </c>
      <c r="L75" s="23" t="s">
        <v>223</v>
      </c>
    </row>
    <row r="76" spans="2:12" ht="69" customHeight="1" x14ac:dyDescent="0.3">
      <c r="B76" s="16" t="s">
        <v>243</v>
      </c>
      <c r="C76" s="3" t="s">
        <v>425</v>
      </c>
      <c r="D76" s="3" t="s">
        <v>426</v>
      </c>
      <c r="E76" s="3" t="s">
        <v>427</v>
      </c>
      <c r="F76" s="3" t="s">
        <v>428</v>
      </c>
      <c r="G76" s="3" t="s">
        <v>429</v>
      </c>
      <c r="H76" s="3" t="s">
        <v>430</v>
      </c>
      <c r="I76" s="3" t="s">
        <v>431</v>
      </c>
      <c r="J76" s="3" t="s">
        <v>432</v>
      </c>
      <c r="K76" s="3" t="s">
        <v>433</v>
      </c>
      <c r="L76" s="3" t="s">
        <v>434</v>
      </c>
    </row>
    <row r="77" spans="2:12" x14ac:dyDescent="0.3">
      <c r="B77" s="18"/>
      <c r="C77" s="9"/>
      <c r="D77" s="9"/>
      <c r="E77" s="9"/>
      <c r="F77" s="9"/>
      <c r="G77" s="9"/>
      <c r="H77" s="9"/>
      <c r="I77" s="9"/>
      <c r="J77" s="9"/>
      <c r="K77" s="9"/>
      <c r="L77" s="9"/>
    </row>
    <row r="78" spans="2:12" ht="14.25" customHeight="1" x14ac:dyDescent="0.3">
      <c r="B78" s="60" t="s">
        <v>254</v>
      </c>
      <c r="C78" s="60"/>
      <c r="D78" s="60"/>
      <c r="E78" s="60"/>
      <c r="F78" s="60"/>
      <c r="G78" s="60"/>
      <c r="H78" s="60"/>
      <c r="I78" s="60"/>
      <c r="J78" s="60"/>
    </row>
    <row r="79" spans="2:12" ht="27" customHeight="1" x14ac:dyDescent="0.3">
      <c r="B79" s="22" t="s">
        <v>255</v>
      </c>
      <c r="C79" s="22" t="s">
        <v>167</v>
      </c>
      <c r="D79" s="22" t="s">
        <v>169</v>
      </c>
      <c r="E79" s="22" t="s">
        <v>171</v>
      </c>
      <c r="F79" s="22" t="s">
        <v>177</v>
      </c>
      <c r="G79" s="22" t="s">
        <v>179</v>
      </c>
      <c r="H79" s="22" t="s">
        <v>175</v>
      </c>
      <c r="I79" s="22" t="s">
        <v>181</v>
      </c>
      <c r="J79" s="22" t="s">
        <v>183</v>
      </c>
    </row>
    <row r="80" spans="2:12" ht="41.25" customHeight="1" x14ac:dyDescent="0.3">
      <c r="B80" s="31">
        <v>1</v>
      </c>
      <c r="C80" s="1" t="s">
        <v>414</v>
      </c>
      <c r="D80" s="23" t="s">
        <v>232</v>
      </c>
      <c r="E80" s="23" t="s">
        <v>277</v>
      </c>
      <c r="F80" s="23" t="s">
        <v>418</v>
      </c>
      <c r="G80" s="23" t="s">
        <v>223</v>
      </c>
      <c r="H80" s="23" t="s">
        <v>225</v>
      </c>
      <c r="I80" s="23" t="s">
        <v>221</v>
      </c>
      <c r="J80" s="41" t="s">
        <v>277</v>
      </c>
    </row>
    <row r="81" spans="2:10" x14ac:dyDescent="0.3">
      <c r="B81" s="31">
        <v>2</v>
      </c>
      <c r="C81" s="23" t="s">
        <v>221</v>
      </c>
      <c r="D81" s="23" t="s">
        <v>233</v>
      </c>
      <c r="E81" s="23" t="s">
        <v>219</v>
      </c>
      <c r="F81" s="23" t="s">
        <v>233</v>
      </c>
      <c r="G81" s="23" t="s">
        <v>223</v>
      </c>
      <c r="H81" s="23" t="s">
        <v>225</v>
      </c>
      <c r="I81" s="23" t="s">
        <v>221</v>
      </c>
      <c r="J81" s="41" t="s">
        <v>228</v>
      </c>
    </row>
    <row r="82" spans="2:10" x14ac:dyDescent="0.3">
      <c r="B82" s="31">
        <v>3</v>
      </c>
      <c r="C82" s="23" t="s">
        <v>221</v>
      </c>
      <c r="D82" s="23" t="s">
        <v>233</v>
      </c>
      <c r="E82" s="23" t="s">
        <v>219</v>
      </c>
      <c r="F82" s="23" t="s">
        <v>233</v>
      </c>
      <c r="G82" s="23" t="s">
        <v>223</v>
      </c>
      <c r="H82" s="23" t="s">
        <v>225</v>
      </c>
      <c r="I82" s="23" t="s">
        <v>221</v>
      </c>
      <c r="J82" s="41" t="s">
        <v>228</v>
      </c>
    </row>
    <row r="83" spans="2:10" x14ac:dyDescent="0.3">
      <c r="B83" s="31">
        <v>4</v>
      </c>
      <c r="C83" s="23" t="s">
        <v>223</v>
      </c>
      <c r="D83" s="23" t="s">
        <v>233</v>
      </c>
      <c r="E83" s="23" t="s">
        <v>221</v>
      </c>
      <c r="F83" s="23" t="s">
        <v>233</v>
      </c>
      <c r="G83" s="23" t="s">
        <v>223</v>
      </c>
      <c r="H83" s="23" t="s">
        <v>225</v>
      </c>
      <c r="I83" s="23" t="s">
        <v>424</v>
      </c>
      <c r="J83" s="41" t="s">
        <v>228</v>
      </c>
    </row>
    <row r="84" spans="2:10" x14ac:dyDescent="0.3">
      <c r="B84" s="31">
        <v>5</v>
      </c>
      <c r="C84" s="23" t="s">
        <v>277</v>
      </c>
      <c r="D84" s="23" t="s">
        <v>228</v>
      </c>
      <c r="E84" s="23" t="s">
        <v>219</v>
      </c>
      <c r="F84" s="23" t="s">
        <v>233</v>
      </c>
      <c r="G84" s="23" t="s">
        <v>228</v>
      </c>
      <c r="H84" s="23" t="s">
        <v>232</v>
      </c>
      <c r="I84" s="23" t="s">
        <v>221</v>
      </c>
      <c r="J84" s="41" t="s">
        <v>277</v>
      </c>
    </row>
    <row r="85" spans="2:10" ht="27" customHeight="1" x14ac:dyDescent="0.3">
      <c r="B85" s="31">
        <v>6</v>
      </c>
      <c r="C85" s="23" t="s">
        <v>223</v>
      </c>
      <c r="D85" s="23" t="s">
        <v>417</v>
      </c>
      <c r="E85" s="23" t="s">
        <v>219</v>
      </c>
      <c r="F85" s="23" t="s">
        <v>418</v>
      </c>
      <c r="G85" s="23" t="s">
        <v>223</v>
      </c>
      <c r="H85" s="23" t="s">
        <v>225</v>
      </c>
      <c r="I85" s="23" t="s">
        <v>232</v>
      </c>
      <c r="J85" s="41" t="s">
        <v>228</v>
      </c>
    </row>
    <row r="86" spans="2:10" x14ac:dyDescent="0.3">
      <c r="B86" s="31">
        <v>7</v>
      </c>
      <c r="C86" s="23" t="s">
        <v>277</v>
      </c>
      <c r="D86" s="23" t="s">
        <v>233</v>
      </c>
      <c r="E86" s="23" t="s">
        <v>219</v>
      </c>
      <c r="F86" s="23" t="s">
        <v>233</v>
      </c>
      <c r="G86" s="23" t="s">
        <v>223</v>
      </c>
      <c r="H86" s="23" t="s">
        <v>225</v>
      </c>
      <c r="I86" s="23" t="s">
        <v>232</v>
      </c>
      <c r="J86" s="23" t="s">
        <v>228</v>
      </c>
    </row>
    <row r="87" spans="2:10" x14ac:dyDescent="0.3">
      <c r="B87" s="31">
        <v>8</v>
      </c>
      <c r="C87" s="23" t="s">
        <v>224</v>
      </c>
      <c r="D87" s="23" t="s">
        <v>229</v>
      </c>
      <c r="E87" s="23" t="s">
        <v>221</v>
      </c>
      <c r="F87" s="23" t="s">
        <v>233</v>
      </c>
      <c r="G87" s="23" t="s">
        <v>223</v>
      </c>
      <c r="H87" s="23" t="s">
        <v>225</v>
      </c>
      <c r="I87" s="23" t="s">
        <v>232</v>
      </c>
      <c r="J87" s="23" t="s">
        <v>228</v>
      </c>
    </row>
    <row r="88" spans="2:10" ht="41.25" customHeight="1" x14ac:dyDescent="0.3">
      <c r="B88" s="31">
        <v>9</v>
      </c>
      <c r="C88" s="1" t="s">
        <v>415</v>
      </c>
      <c r="D88" s="23" t="s">
        <v>418</v>
      </c>
      <c r="E88" s="23" t="s">
        <v>221</v>
      </c>
      <c r="F88" s="23" t="s">
        <v>233</v>
      </c>
      <c r="G88" s="23" t="s">
        <v>223</v>
      </c>
      <c r="H88" s="23" t="s">
        <v>225</v>
      </c>
      <c r="I88" s="23" t="s">
        <v>221</v>
      </c>
      <c r="J88" s="41" t="s">
        <v>228</v>
      </c>
    </row>
    <row r="89" spans="2:10" ht="27" customHeight="1" x14ac:dyDescent="0.3">
      <c r="B89" s="31">
        <v>10</v>
      </c>
      <c r="C89" s="23" t="s">
        <v>416</v>
      </c>
      <c r="D89" s="23" t="s">
        <v>229</v>
      </c>
      <c r="E89" s="23" t="s">
        <v>419</v>
      </c>
      <c r="F89" s="23" t="s">
        <v>420</v>
      </c>
      <c r="G89" s="23" t="s">
        <v>421</v>
      </c>
      <c r="H89" s="23" t="s">
        <v>423</v>
      </c>
      <c r="I89" s="23" t="s">
        <v>223</v>
      </c>
      <c r="J89" s="41" t="s">
        <v>223</v>
      </c>
    </row>
    <row r="91" spans="2:10" ht="30.75" customHeight="1" x14ac:dyDescent="0.3">
      <c r="B91" s="17" t="s">
        <v>264</v>
      </c>
      <c r="C91" s="34"/>
      <c r="D91" s="34"/>
      <c r="E91" s="34"/>
      <c r="F91" s="34"/>
      <c r="G91" s="34"/>
      <c r="H91" s="34"/>
      <c r="I91" s="34"/>
    </row>
    <row r="92" spans="2:10" x14ac:dyDescent="0.3">
      <c r="B92" s="26" t="s">
        <v>196</v>
      </c>
      <c r="C92" s="26">
        <v>11</v>
      </c>
      <c r="D92" s="26">
        <v>12</v>
      </c>
      <c r="E92" s="26">
        <v>13</v>
      </c>
      <c r="F92" s="26">
        <v>14</v>
      </c>
      <c r="G92" s="26">
        <v>15</v>
      </c>
      <c r="H92" s="26">
        <v>16</v>
      </c>
      <c r="I92" s="32"/>
    </row>
    <row r="93" spans="2:10" ht="82.5" customHeight="1" x14ac:dyDescent="0.3">
      <c r="B93" s="27"/>
      <c r="C93" s="27" t="s">
        <v>435</v>
      </c>
      <c r="D93" s="27" t="s">
        <v>436</v>
      </c>
      <c r="E93" s="27" t="s">
        <v>437</v>
      </c>
      <c r="F93" s="27" t="s">
        <v>438</v>
      </c>
      <c r="G93" s="27" t="s">
        <v>439</v>
      </c>
      <c r="H93" s="27" t="s">
        <v>440</v>
      </c>
      <c r="I93" s="18"/>
    </row>
    <row r="94" spans="2:10" ht="186.75" customHeight="1" x14ac:dyDescent="0.3">
      <c r="B94" s="16" t="s">
        <v>208</v>
      </c>
      <c r="C94" s="35" t="s">
        <v>441</v>
      </c>
      <c r="D94" s="35" t="s">
        <v>442</v>
      </c>
      <c r="E94" s="35" t="s">
        <v>443</v>
      </c>
      <c r="F94" s="35" t="s">
        <v>444</v>
      </c>
      <c r="G94" s="35" t="s">
        <v>445</v>
      </c>
      <c r="H94" s="35" t="s">
        <v>446</v>
      </c>
      <c r="I94" s="34"/>
    </row>
    <row r="95" spans="2:10" x14ac:dyDescent="0.3">
      <c r="B95" s="16" t="s">
        <v>167</v>
      </c>
      <c r="C95" s="35" t="s">
        <v>221</v>
      </c>
      <c r="D95" s="35" t="s">
        <v>221</v>
      </c>
      <c r="E95" s="35" t="s">
        <v>223</v>
      </c>
      <c r="F95" s="35" t="s">
        <v>224</v>
      </c>
      <c r="G95" s="35" t="s">
        <v>277</v>
      </c>
      <c r="H95" s="25" t="s">
        <v>221</v>
      </c>
      <c r="I95" s="14"/>
    </row>
    <row r="96" spans="2:10" x14ac:dyDescent="0.3">
      <c r="B96" s="16" t="s">
        <v>169</v>
      </c>
      <c r="C96" s="35" t="s">
        <v>221</v>
      </c>
      <c r="D96" s="35" t="s">
        <v>221</v>
      </c>
      <c r="E96" s="35" t="s">
        <v>229</v>
      </c>
      <c r="F96" s="25" t="s">
        <v>229</v>
      </c>
      <c r="G96" s="35" t="s">
        <v>447</v>
      </c>
      <c r="H96" s="35" t="s">
        <v>221</v>
      </c>
      <c r="I96" s="34"/>
    </row>
    <row r="97" spans="2:10" ht="28.5" customHeight="1" x14ac:dyDescent="0.3">
      <c r="B97" s="16" t="s">
        <v>231</v>
      </c>
      <c r="C97" s="25" t="s">
        <v>219</v>
      </c>
      <c r="D97" s="35" t="s">
        <v>233</v>
      </c>
      <c r="E97" s="35" t="s">
        <v>448</v>
      </c>
      <c r="F97" s="35" t="s">
        <v>232</v>
      </c>
      <c r="G97" s="35" t="s">
        <v>219</v>
      </c>
      <c r="H97" s="35" t="s">
        <v>448</v>
      </c>
      <c r="I97" s="34"/>
    </row>
    <row r="98" spans="2:10" x14ac:dyDescent="0.3">
      <c r="B98" s="16" t="s">
        <v>177</v>
      </c>
      <c r="C98" s="25" t="s">
        <v>233</v>
      </c>
      <c r="D98" s="35" t="s">
        <v>233</v>
      </c>
      <c r="E98" s="35" t="s">
        <v>233</v>
      </c>
      <c r="F98" s="35" t="s">
        <v>233</v>
      </c>
      <c r="G98" s="25" t="s">
        <v>233</v>
      </c>
      <c r="H98" s="35" t="s">
        <v>233</v>
      </c>
      <c r="I98" s="34"/>
    </row>
    <row r="99" spans="2:10" x14ac:dyDescent="0.3">
      <c r="B99" s="16" t="s">
        <v>179</v>
      </c>
      <c r="C99" s="25" t="s">
        <v>223</v>
      </c>
      <c r="D99" s="35" t="s">
        <v>223</v>
      </c>
      <c r="E99" s="35" t="s">
        <v>223</v>
      </c>
      <c r="F99" s="25" t="s">
        <v>223</v>
      </c>
      <c r="G99" s="35" t="s">
        <v>223</v>
      </c>
      <c r="H99" s="35" t="s">
        <v>223</v>
      </c>
      <c r="I99" s="34"/>
    </row>
    <row r="100" spans="2:10" ht="27" customHeight="1" x14ac:dyDescent="0.3">
      <c r="B100" s="16" t="s">
        <v>238</v>
      </c>
      <c r="C100" s="25" t="s">
        <v>225</v>
      </c>
      <c r="D100" s="35" t="s">
        <v>225</v>
      </c>
      <c r="E100" s="35" t="s">
        <v>225</v>
      </c>
      <c r="F100" s="25" t="s">
        <v>449</v>
      </c>
      <c r="G100" s="25" t="s">
        <v>449</v>
      </c>
      <c r="H100" s="35" t="s">
        <v>225</v>
      </c>
      <c r="I100" s="34"/>
    </row>
    <row r="101" spans="2:10" x14ac:dyDescent="0.3">
      <c r="B101" s="16" t="s">
        <v>181</v>
      </c>
      <c r="C101" s="25" t="s">
        <v>223</v>
      </c>
      <c r="D101" s="35" t="s">
        <v>221</v>
      </c>
      <c r="E101" s="35" t="s">
        <v>223</v>
      </c>
      <c r="F101" s="35" t="s">
        <v>221</v>
      </c>
      <c r="G101" s="35" t="s">
        <v>450</v>
      </c>
      <c r="H101" s="35" t="s">
        <v>223</v>
      </c>
      <c r="I101" s="34"/>
    </row>
    <row r="102" spans="2:10" x14ac:dyDescent="0.3">
      <c r="B102" s="16" t="s">
        <v>183</v>
      </c>
      <c r="C102" s="25" t="s">
        <v>221</v>
      </c>
      <c r="D102" s="35" t="s">
        <v>221</v>
      </c>
      <c r="E102" s="35" t="s">
        <v>221</v>
      </c>
      <c r="F102" s="25" t="s">
        <v>219</v>
      </c>
      <c r="G102" s="35" t="s">
        <v>221</v>
      </c>
      <c r="H102" s="25" t="s">
        <v>221</v>
      </c>
      <c r="I102" s="14"/>
    </row>
    <row r="103" spans="2:10" ht="59.25" customHeight="1" x14ac:dyDescent="0.3">
      <c r="B103" s="16" t="s">
        <v>243</v>
      </c>
      <c r="C103" s="35" t="s">
        <v>451</v>
      </c>
      <c r="D103" s="35" t="s">
        <v>452</v>
      </c>
      <c r="E103" s="35" t="s">
        <v>453</v>
      </c>
      <c r="F103" s="25" t="s">
        <v>454</v>
      </c>
      <c r="G103" s="25" t="s">
        <v>455</v>
      </c>
      <c r="H103" s="35" t="s">
        <v>456</v>
      </c>
      <c r="I103" s="34"/>
    </row>
    <row r="105" spans="2:10" ht="14.25" customHeight="1" x14ac:dyDescent="0.3">
      <c r="B105" s="60" t="s">
        <v>287</v>
      </c>
      <c r="C105" s="60"/>
      <c r="D105" s="60"/>
      <c r="E105" s="60"/>
      <c r="F105" s="60"/>
      <c r="G105" s="60"/>
      <c r="H105" s="60"/>
      <c r="I105" s="60"/>
      <c r="J105" s="60"/>
    </row>
    <row r="106" spans="2:10" ht="27" customHeight="1" x14ac:dyDescent="0.3">
      <c r="B106" s="22" t="s">
        <v>255</v>
      </c>
      <c r="C106" s="22" t="s">
        <v>167</v>
      </c>
      <c r="D106" s="22" t="s">
        <v>169</v>
      </c>
      <c r="E106" s="22" t="s">
        <v>171</v>
      </c>
      <c r="F106" s="22" t="s">
        <v>177</v>
      </c>
      <c r="G106" s="22" t="s">
        <v>179</v>
      </c>
      <c r="H106" s="22" t="s">
        <v>175</v>
      </c>
      <c r="I106" s="22" t="s">
        <v>181</v>
      </c>
      <c r="J106" s="22" t="s">
        <v>183</v>
      </c>
    </row>
    <row r="107" spans="2:10" x14ac:dyDescent="0.3">
      <c r="B107" s="41">
        <v>11</v>
      </c>
      <c r="C107" s="44" t="s">
        <v>221</v>
      </c>
      <c r="D107" s="44" t="s">
        <v>221</v>
      </c>
      <c r="E107" s="44" t="s">
        <v>219</v>
      </c>
      <c r="F107" s="44" t="s">
        <v>233</v>
      </c>
      <c r="G107" s="37" t="s">
        <v>223</v>
      </c>
      <c r="H107" s="37" t="s">
        <v>225</v>
      </c>
      <c r="I107" s="37" t="s">
        <v>223</v>
      </c>
      <c r="J107" s="37" t="s">
        <v>221</v>
      </c>
    </row>
    <row r="108" spans="2:10" x14ac:dyDescent="0.3">
      <c r="B108" s="41">
        <v>12</v>
      </c>
      <c r="C108" s="44" t="s">
        <v>221</v>
      </c>
      <c r="D108" s="44" t="s">
        <v>221</v>
      </c>
      <c r="E108" s="44" t="s">
        <v>233</v>
      </c>
      <c r="F108" s="44" t="s">
        <v>233</v>
      </c>
      <c r="G108" s="37" t="s">
        <v>223</v>
      </c>
      <c r="H108" s="37" t="s">
        <v>225</v>
      </c>
      <c r="I108" s="37" t="s">
        <v>221</v>
      </c>
      <c r="J108" s="37" t="s">
        <v>221</v>
      </c>
    </row>
    <row r="109" spans="2:10" x14ac:dyDescent="0.3">
      <c r="B109" s="41">
        <v>13</v>
      </c>
      <c r="C109" s="44" t="s">
        <v>223</v>
      </c>
      <c r="D109" s="44" t="s">
        <v>229</v>
      </c>
      <c r="E109" s="44" t="s">
        <v>457</v>
      </c>
      <c r="F109" s="44" t="s">
        <v>233</v>
      </c>
      <c r="G109" s="37" t="s">
        <v>223</v>
      </c>
      <c r="H109" s="37" t="s">
        <v>225</v>
      </c>
      <c r="I109" s="37" t="s">
        <v>223</v>
      </c>
      <c r="J109" s="37" t="s">
        <v>221</v>
      </c>
    </row>
    <row r="110" spans="2:10" x14ac:dyDescent="0.3">
      <c r="B110" s="41">
        <v>14</v>
      </c>
      <c r="C110" s="44" t="s">
        <v>224</v>
      </c>
      <c r="D110" s="44" t="s">
        <v>229</v>
      </c>
      <c r="E110" s="44" t="s">
        <v>232</v>
      </c>
      <c r="F110" s="44" t="s">
        <v>233</v>
      </c>
      <c r="G110" s="37" t="s">
        <v>223</v>
      </c>
      <c r="H110" s="37" t="s">
        <v>458</v>
      </c>
      <c r="I110" s="37" t="s">
        <v>221</v>
      </c>
      <c r="J110" s="37" t="s">
        <v>219</v>
      </c>
    </row>
    <row r="111" spans="2:10" x14ac:dyDescent="0.3">
      <c r="B111" s="41">
        <v>15</v>
      </c>
      <c r="C111" s="44" t="s">
        <v>277</v>
      </c>
      <c r="D111" s="44" t="s">
        <v>447</v>
      </c>
      <c r="E111" s="44" t="s">
        <v>219</v>
      </c>
      <c r="F111" s="44" t="s">
        <v>233</v>
      </c>
      <c r="G111" s="37" t="s">
        <v>223</v>
      </c>
      <c r="H111" s="37" t="s">
        <v>458</v>
      </c>
      <c r="I111" s="37" t="s">
        <v>450</v>
      </c>
      <c r="J111" s="37" t="s">
        <v>221</v>
      </c>
    </row>
    <row r="112" spans="2:10" x14ac:dyDescent="0.3">
      <c r="B112" s="41">
        <v>16</v>
      </c>
      <c r="C112" s="44" t="s">
        <v>221</v>
      </c>
      <c r="D112" s="44" t="s">
        <v>221</v>
      </c>
      <c r="E112" s="44" t="s">
        <v>457</v>
      </c>
      <c r="F112" s="44" t="s">
        <v>233</v>
      </c>
      <c r="G112" s="37" t="s">
        <v>223</v>
      </c>
      <c r="H112" s="37" t="s">
        <v>225</v>
      </c>
      <c r="I112" s="37" t="s">
        <v>223</v>
      </c>
      <c r="J112" s="37" t="s">
        <v>221</v>
      </c>
    </row>
    <row r="114" spans="2:11" ht="14.25" customHeight="1" x14ac:dyDescent="0.3">
      <c r="B114" s="60" t="s">
        <v>288</v>
      </c>
      <c r="C114" s="60"/>
      <c r="D114" s="60"/>
      <c r="E114" s="60"/>
      <c r="F114" s="60"/>
      <c r="G114" s="60"/>
      <c r="H114" s="60"/>
      <c r="I114" s="60"/>
      <c r="J114" s="60"/>
      <c r="K114" s="60"/>
    </row>
    <row r="115" spans="2:11" ht="41.25" customHeight="1" x14ac:dyDescent="0.3">
      <c r="B115" s="22" t="s">
        <v>289</v>
      </c>
      <c r="C115" s="45" t="s">
        <v>459</v>
      </c>
      <c r="D115" s="22" t="s">
        <v>167</v>
      </c>
      <c r="E115" s="22" t="s">
        <v>169</v>
      </c>
      <c r="F115" s="22" t="s">
        <v>171</v>
      </c>
      <c r="G115" s="22" t="s">
        <v>177</v>
      </c>
      <c r="H115" s="22" t="s">
        <v>179</v>
      </c>
      <c r="I115" s="22" t="s">
        <v>175</v>
      </c>
      <c r="J115" s="22" t="s">
        <v>181</v>
      </c>
      <c r="K115" s="22" t="s">
        <v>183</v>
      </c>
    </row>
    <row r="116" spans="2:11" x14ac:dyDescent="0.3">
      <c r="B116" s="31">
        <v>1</v>
      </c>
      <c r="C116" s="23" t="s">
        <v>460</v>
      </c>
      <c r="D116" s="23" t="s">
        <v>461</v>
      </c>
      <c r="E116" s="23" t="s">
        <v>462</v>
      </c>
      <c r="F116" s="23" t="s">
        <v>221</v>
      </c>
      <c r="G116" s="23" t="s">
        <v>221</v>
      </c>
      <c r="H116" s="23" t="s">
        <v>463</v>
      </c>
      <c r="I116" s="23" t="s">
        <v>223</v>
      </c>
      <c r="J116" s="23" t="s">
        <v>464</v>
      </c>
      <c r="K116" s="37" t="s">
        <v>219</v>
      </c>
    </row>
    <row r="117" spans="2:11" ht="27" customHeight="1" x14ac:dyDescent="0.3">
      <c r="B117" s="31">
        <v>2</v>
      </c>
      <c r="C117" s="23" t="s">
        <v>460</v>
      </c>
      <c r="D117" s="23" t="s">
        <v>461</v>
      </c>
      <c r="E117" s="23" t="s">
        <v>465</v>
      </c>
      <c r="F117" s="23" t="s">
        <v>466</v>
      </c>
      <c r="G117" s="23" t="s">
        <v>223</v>
      </c>
      <c r="H117" s="23" t="s">
        <v>467</v>
      </c>
      <c r="I117" s="23" t="s">
        <v>223</v>
      </c>
      <c r="J117" s="23" t="s">
        <v>464</v>
      </c>
      <c r="K117" s="37" t="s">
        <v>219</v>
      </c>
    </row>
    <row r="118" spans="2:11" ht="41.25" customHeight="1" x14ac:dyDescent="0.3">
      <c r="B118" s="31">
        <v>3</v>
      </c>
      <c r="C118" s="23" t="s">
        <v>468</v>
      </c>
      <c r="D118" s="3" t="s">
        <v>469</v>
      </c>
      <c r="E118" s="23" t="s">
        <v>470</v>
      </c>
      <c r="F118" s="23" t="s">
        <v>470</v>
      </c>
      <c r="G118" s="23" t="s">
        <v>470</v>
      </c>
      <c r="H118" s="23" t="s">
        <v>465</v>
      </c>
      <c r="I118" s="23" t="s">
        <v>223</v>
      </c>
      <c r="J118" s="23" t="s">
        <v>471</v>
      </c>
      <c r="K118" s="37" t="s">
        <v>472</v>
      </c>
    </row>
    <row r="119" spans="2:11" x14ac:dyDescent="0.3">
      <c r="B119" s="34"/>
      <c r="C119" s="34"/>
      <c r="D119" s="34"/>
      <c r="E119" s="34"/>
      <c r="F119" s="34"/>
      <c r="G119" s="34"/>
      <c r="H119" s="34"/>
      <c r="I119" s="34"/>
      <c r="J119" s="34"/>
    </row>
    <row r="120" spans="2:11" ht="14.25" customHeight="1" x14ac:dyDescent="0.3">
      <c r="B120" s="61" t="s">
        <v>306</v>
      </c>
      <c r="C120" s="61"/>
      <c r="D120" s="61"/>
      <c r="E120" s="61"/>
      <c r="F120" s="61"/>
      <c r="G120" s="61"/>
      <c r="H120" s="61"/>
      <c r="I120" s="34"/>
      <c r="J120" s="34"/>
    </row>
    <row r="121" spans="2:11" ht="41.25" customHeight="1" x14ac:dyDescent="0.3">
      <c r="B121" s="27" t="s">
        <v>255</v>
      </c>
      <c r="C121" s="27" t="s">
        <v>167</v>
      </c>
      <c r="D121" s="27" t="s">
        <v>307</v>
      </c>
      <c r="E121" s="27" t="s">
        <v>308</v>
      </c>
      <c r="F121" s="27" t="s">
        <v>309</v>
      </c>
      <c r="G121" s="27" t="s">
        <v>181</v>
      </c>
      <c r="H121" s="27" t="s">
        <v>310</v>
      </c>
      <c r="I121" s="34"/>
      <c r="J121" s="46"/>
      <c r="K121" s="46"/>
    </row>
    <row r="122" spans="2:11" ht="27" customHeight="1" x14ac:dyDescent="0.3">
      <c r="B122" s="22" t="s">
        <v>255</v>
      </c>
      <c r="C122" s="22" t="s">
        <v>167</v>
      </c>
      <c r="D122" s="22" t="s">
        <v>311</v>
      </c>
      <c r="E122" s="22" t="s">
        <v>308</v>
      </c>
      <c r="F122" s="22" t="s">
        <v>312</v>
      </c>
      <c r="G122" s="22" t="s">
        <v>181</v>
      </c>
      <c r="H122" s="22" t="s">
        <v>313</v>
      </c>
      <c r="I122" s="34"/>
      <c r="J122" s="46"/>
      <c r="K122" s="46"/>
    </row>
    <row r="123" spans="2:11" x14ac:dyDescent="0.3">
      <c r="B123" s="31">
        <v>1</v>
      </c>
      <c r="C123" s="23">
        <v>4</v>
      </c>
      <c r="D123" s="23">
        <v>4</v>
      </c>
      <c r="E123" s="23">
        <v>4</v>
      </c>
      <c r="F123" s="23">
        <v>4</v>
      </c>
      <c r="G123" s="23">
        <v>3</v>
      </c>
      <c r="H123" s="39">
        <f t="shared" ref="H123:H131" si="0">AVERAGE(C123:G123)</f>
        <v>3.8</v>
      </c>
      <c r="I123" s="34"/>
      <c r="J123" s="46"/>
      <c r="K123" s="46"/>
    </row>
    <row r="124" spans="2:11" x14ac:dyDescent="0.3">
      <c r="B124" s="31">
        <v>2</v>
      </c>
      <c r="C124" s="23">
        <v>3</v>
      </c>
      <c r="D124" s="23">
        <v>5</v>
      </c>
      <c r="E124" s="23">
        <v>4</v>
      </c>
      <c r="F124" s="23">
        <v>2</v>
      </c>
      <c r="G124" s="23">
        <v>3</v>
      </c>
      <c r="H124" s="39">
        <f t="shared" si="0"/>
        <v>3.4</v>
      </c>
      <c r="I124" s="34"/>
      <c r="J124" s="46"/>
      <c r="K124" s="46"/>
    </row>
    <row r="125" spans="2:11" x14ac:dyDescent="0.3">
      <c r="B125" s="31">
        <v>3</v>
      </c>
      <c r="C125" s="23">
        <v>3</v>
      </c>
      <c r="D125" s="23">
        <v>4</v>
      </c>
      <c r="E125" s="23">
        <v>4</v>
      </c>
      <c r="F125" s="23">
        <v>3</v>
      </c>
      <c r="G125" s="23">
        <v>3</v>
      </c>
      <c r="H125" s="39">
        <f t="shared" si="0"/>
        <v>3.4</v>
      </c>
      <c r="I125" s="34"/>
      <c r="J125" s="46"/>
      <c r="K125" s="46"/>
    </row>
    <row r="126" spans="2:11" x14ac:dyDescent="0.3">
      <c r="B126" s="31">
        <v>4</v>
      </c>
      <c r="C126" s="23">
        <v>3</v>
      </c>
      <c r="D126" s="23">
        <v>4</v>
      </c>
      <c r="E126" s="23">
        <v>4</v>
      </c>
      <c r="F126" s="23">
        <v>3</v>
      </c>
      <c r="G126" s="23">
        <v>3</v>
      </c>
      <c r="H126" s="39">
        <f t="shared" si="0"/>
        <v>3.4</v>
      </c>
      <c r="I126" s="34"/>
      <c r="J126" s="34"/>
    </row>
    <row r="127" spans="2:11" x14ac:dyDescent="0.3">
      <c r="B127" s="31">
        <v>5</v>
      </c>
      <c r="C127" s="23">
        <v>4</v>
      </c>
      <c r="D127" s="23">
        <v>4</v>
      </c>
      <c r="E127" s="23">
        <v>4</v>
      </c>
      <c r="F127" s="23">
        <v>3</v>
      </c>
      <c r="G127" s="23">
        <v>3</v>
      </c>
      <c r="H127" s="39">
        <f t="shared" si="0"/>
        <v>3.6</v>
      </c>
      <c r="I127" s="34"/>
      <c r="J127" s="34"/>
    </row>
    <row r="128" spans="2:11" x14ac:dyDescent="0.3">
      <c r="B128" s="31">
        <v>6</v>
      </c>
      <c r="C128" s="23">
        <v>3</v>
      </c>
      <c r="D128" s="23">
        <v>5</v>
      </c>
      <c r="E128" s="23">
        <v>3</v>
      </c>
      <c r="F128" s="23">
        <v>3</v>
      </c>
      <c r="G128" s="23">
        <v>3</v>
      </c>
      <c r="H128" s="39">
        <f t="shared" si="0"/>
        <v>3.4</v>
      </c>
      <c r="I128" s="34"/>
      <c r="J128" s="34"/>
    </row>
    <row r="129" spans="2:10" x14ac:dyDescent="0.3">
      <c r="B129" s="31">
        <v>7</v>
      </c>
      <c r="C129" s="23">
        <v>2</v>
      </c>
      <c r="D129" s="23">
        <v>4</v>
      </c>
      <c r="E129" s="23">
        <v>3</v>
      </c>
      <c r="F129" s="23">
        <v>2</v>
      </c>
      <c r="G129" s="23">
        <v>3</v>
      </c>
      <c r="H129" s="39">
        <f t="shared" si="0"/>
        <v>2.8</v>
      </c>
      <c r="I129" s="34"/>
      <c r="J129" s="34"/>
    </row>
    <row r="130" spans="2:10" x14ac:dyDescent="0.3">
      <c r="B130" s="31">
        <v>8</v>
      </c>
      <c r="C130" s="23">
        <v>2</v>
      </c>
      <c r="D130" s="23">
        <v>4</v>
      </c>
      <c r="E130" s="23">
        <v>3</v>
      </c>
      <c r="F130" s="23">
        <v>2</v>
      </c>
      <c r="G130" s="23">
        <v>3</v>
      </c>
      <c r="H130" s="39">
        <f t="shared" si="0"/>
        <v>2.8</v>
      </c>
      <c r="I130" s="34"/>
      <c r="J130" s="34"/>
    </row>
    <row r="131" spans="2:10" x14ac:dyDescent="0.3">
      <c r="B131" s="31">
        <v>9</v>
      </c>
      <c r="C131" s="23">
        <v>2</v>
      </c>
      <c r="D131" s="23">
        <v>2</v>
      </c>
      <c r="E131" s="23">
        <v>2</v>
      </c>
      <c r="F131" s="23">
        <v>1</v>
      </c>
      <c r="G131" s="23">
        <v>5</v>
      </c>
      <c r="H131" s="39">
        <f t="shared" si="0"/>
        <v>2.4</v>
      </c>
      <c r="I131" s="34"/>
      <c r="J131" s="34"/>
    </row>
  </sheetData>
  <mergeCells count="27">
    <mergeCell ref="B1:E1"/>
    <mergeCell ref="C2:E2"/>
    <mergeCell ref="C3:E3"/>
    <mergeCell ref="C4:E4"/>
    <mergeCell ref="C5:E5"/>
    <mergeCell ref="C6:E6"/>
    <mergeCell ref="C7:E7"/>
    <mergeCell ref="B10:E10"/>
    <mergeCell ref="C11:E11"/>
    <mergeCell ref="C12:E12"/>
    <mergeCell ref="C13:E13"/>
    <mergeCell ref="C14:E14"/>
    <mergeCell ref="C15:E15"/>
    <mergeCell ref="C16:E16"/>
    <mergeCell ref="C17:E17"/>
    <mergeCell ref="B19:D19"/>
    <mergeCell ref="B33:C33"/>
    <mergeCell ref="B57:E57"/>
    <mergeCell ref="C58:E58"/>
    <mergeCell ref="C59:E59"/>
    <mergeCell ref="B114:K114"/>
    <mergeCell ref="B120:H120"/>
    <mergeCell ref="C60:E60"/>
    <mergeCell ref="C61:E61"/>
    <mergeCell ref="C62:E62"/>
    <mergeCell ref="B78:J78"/>
    <mergeCell ref="B105:J105"/>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22"/>
  <sheetViews>
    <sheetView zoomScale="55" zoomScaleNormal="55" workbookViewId="0">
      <selection activeCell="G16" sqref="G16"/>
    </sheetView>
  </sheetViews>
  <sheetFormatPr defaultColWidth="8.88671875" defaultRowHeight="14.4" x14ac:dyDescent="0.3"/>
  <cols>
    <col min="1" max="1" width="8.88671875" style="13"/>
    <col min="2" max="2" width="15" style="13" customWidth="1"/>
    <col min="3" max="3" width="35.5546875" style="13" customWidth="1"/>
    <col min="4" max="16384" width="8.88671875" style="13"/>
  </cols>
  <sheetData>
    <row r="1" spans="2:5" ht="14.25" customHeight="1" x14ac:dyDescent="0.3">
      <c r="B1" s="62" t="s">
        <v>130</v>
      </c>
      <c r="C1" s="62"/>
      <c r="D1" s="62"/>
      <c r="E1" s="62"/>
    </row>
    <row r="2" spans="2:5" ht="14.25" customHeight="1" x14ac:dyDescent="0.3">
      <c r="B2" s="16" t="s">
        <v>131</v>
      </c>
      <c r="C2" s="68" t="s">
        <v>25</v>
      </c>
      <c r="D2" s="68"/>
      <c r="E2" s="68"/>
    </row>
    <row r="3" spans="2:5" ht="14.25" customHeight="1" x14ac:dyDescent="0.3">
      <c r="B3" s="16" t="s">
        <v>132</v>
      </c>
      <c r="C3" s="68" t="s">
        <v>473</v>
      </c>
      <c r="D3" s="68"/>
      <c r="E3" s="68"/>
    </row>
    <row r="4" spans="2:5" ht="14.25" customHeight="1" x14ac:dyDescent="0.3">
      <c r="B4" s="16" t="s">
        <v>134</v>
      </c>
      <c r="C4" s="68" t="s">
        <v>26</v>
      </c>
      <c r="D4" s="68"/>
      <c r="E4" s="68"/>
    </row>
    <row r="5" spans="2:5" ht="28.35" customHeight="1" x14ac:dyDescent="0.3">
      <c r="B5" s="16" t="s">
        <v>136</v>
      </c>
      <c r="C5" s="68" t="s">
        <v>474</v>
      </c>
      <c r="D5" s="68"/>
      <c r="E5" s="68"/>
    </row>
    <row r="6" spans="2:5" ht="27" customHeight="1" x14ac:dyDescent="0.3">
      <c r="B6" s="16" t="s">
        <v>138</v>
      </c>
      <c r="C6" s="68" t="s">
        <v>317</v>
      </c>
      <c r="D6" s="68"/>
      <c r="E6" s="68"/>
    </row>
    <row r="7" spans="2:5" ht="28.35" customHeight="1" x14ac:dyDescent="0.3">
      <c r="B7" s="16" t="s">
        <v>140</v>
      </c>
      <c r="C7" s="68" t="s">
        <v>475</v>
      </c>
      <c r="D7" s="68"/>
      <c r="E7" s="68"/>
    </row>
    <row r="9" spans="2:5" ht="15" customHeight="1" x14ac:dyDescent="0.3">
      <c r="B9" s="17" t="s">
        <v>142</v>
      </c>
      <c r="C9" s="34"/>
      <c r="D9" s="34"/>
      <c r="E9" s="34"/>
    </row>
    <row r="10" spans="2:5" ht="14.25" customHeight="1" x14ac:dyDescent="0.3">
      <c r="B10" s="60" t="s">
        <v>143</v>
      </c>
      <c r="C10" s="60"/>
      <c r="D10" s="60"/>
      <c r="E10" s="60"/>
    </row>
    <row r="11" spans="2:5" ht="27" customHeight="1" x14ac:dyDescent="0.3">
      <c r="B11" s="31" t="s">
        <v>476</v>
      </c>
      <c r="C11" s="63" t="s">
        <v>477</v>
      </c>
      <c r="D11" s="63"/>
      <c r="E11" s="63"/>
    </row>
    <row r="12" spans="2:5" ht="27" customHeight="1" x14ac:dyDescent="0.3">
      <c r="B12" s="31" t="s">
        <v>478</v>
      </c>
      <c r="C12" s="63" t="s">
        <v>479</v>
      </c>
      <c r="D12" s="63"/>
      <c r="E12" s="63"/>
    </row>
    <row r="13" spans="2:5" ht="27" customHeight="1" x14ac:dyDescent="0.3">
      <c r="B13" s="31" t="s">
        <v>480</v>
      </c>
      <c r="C13" s="63" t="s">
        <v>481</v>
      </c>
      <c r="D13" s="63"/>
      <c r="E13" s="63"/>
    </row>
    <row r="14" spans="2:5" ht="27" customHeight="1" x14ac:dyDescent="0.3">
      <c r="B14" s="31" t="s">
        <v>482</v>
      </c>
      <c r="C14" s="63" t="s">
        <v>483</v>
      </c>
      <c r="D14" s="63"/>
      <c r="E14" s="63"/>
    </row>
    <row r="15" spans="2:5" ht="27" customHeight="1" x14ac:dyDescent="0.3">
      <c r="B15" s="31" t="s">
        <v>484</v>
      </c>
      <c r="C15" s="63" t="s">
        <v>485</v>
      </c>
      <c r="D15" s="63"/>
      <c r="E15" s="63"/>
    </row>
    <row r="16" spans="2:5" ht="41.25" customHeight="1" x14ac:dyDescent="0.3">
      <c r="B16" s="31" t="s">
        <v>486</v>
      </c>
      <c r="C16" s="63" t="s">
        <v>487</v>
      </c>
      <c r="D16" s="63"/>
      <c r="E16" s="63"/>
    </row>
    <row r="17" spans="2:5" ht="27" customHeight="1" x14ac:dyDescent="0.3">
      <c r="B17" s="31" t="s">
        <v>488</v>
      </c>
      <c r="C17" s="63" t="s">
        <v>489</v>
      </c>
      <c r="D17" s="63"/>
      <c r="E17" s="63"/>
    </row>
    <row r="18" spans="2:5" ht="27" customHeight="1" x14ac:dyDescent="0.3">
      <c r="B18" s="31" t="s">
        <v>490</v>
      </c>
      <c r="C18" s="63" t="s">
        <v>491</v>
      </c>
      <c r="D18" s="63"/>
      <c r="E18" s="63"/>
    </row>
    <row r="20" spans="2:5" ht="14.25" customHeight="1" x14ac:dyDescent="0.3">
      <c r="B20" s="60" t="s">
        <v>152</v>
      </c>
      <c r="C20" s="60"/>
      <c r="D20" s="60"/>
    </row>
    <row r="21" spans="2:5" x14ac:dyDescent="0.3">
      <c r="B21" s="22" t="s">
        <v>153</v>
      </c>
      <c r="C21" s="22" t="s">
        <v>154</v>
      </c>
      <c r="D21" s="22" t="s">
        <v>155</v>
      </c>
    </row>
    <row r="22" spans="2:5" ht="27" customHeight="1" x14ac:dyDescent="0.3">
      <c r="B22" s="41">
        <v>1</v>
      </c>
      <c r="C22" s="3" t="s">
        <v>492</v>
      </c>
      <c r="D22" s="25" t="s">
        <v>493</v>
      </c>
    </row>
    <row r="23" spans="2:5" ht="27" customHeight="1" x14ac:dyDescent="0.3">
      <c r="B23" s="41">
        <v>2</v>
      </c>
      <c r="C23" s="3" t="s">
        <v>494</v>
      </c>
      <c r="D23" s="25" t="s">
        <v>495</v>
      </c>
    </row>
    <row r="24" spans="2:5" ht="27" customHeight="1" x14ac:dyDescent="0.3">
      <c r="B24" s="41">
        <v>3</v>
      </c>
      <c r="C24" s="3" t="s">
        <v>496</v>
      </c>
      <c r="D24" s="25" t="s">
        <v>497</v>
      </c>
    </row>
    <row r="25" spans="2:5" ht="27" customHeight="1" x14ac:dyDescent="0.3">
      <c r="B25" s="41">
        <v>4</v>
      </c>
      <c r="C25" s="3" t="s">
        <v>498</v>
      </c>
      <c r="D25" s="25" t="s">
        <v>340</v>
      </c>
    </row>
    <row r="26" spans="2:5" ht="27" customHeight="1" x14ac:dyDescent="0.3">
      <c r="B26" s="41">
        <v>5</v>
      </c>
      <c r="C26" s="3" t="s">
        <v>499</v>
      </c>
      <c r="D26" s="25" t="s">
        <v>340</v>
      </c>
    </row>
    <row r="27" spans="2:5" ht="27" customHeight="1" x14ac:dyDescent="0.3">
      <c r="B27" s="41">
        <v>6</v>
      </c>
      <c r="C27" s="3" t="s">
        <v>500</v>
      </c>
      <c r="D27" s="25" t="s">
        <v>501</v>
      </c>
    </row>
    <row r="28" spans="2:5" ht="41.25" customHeight="1" x14ac:dyDescent="0.3">
      <c r="B28" s="41">
        <v>7</v>
      </c>
      <c r="C28" s="3" t="s">
        <v>502</v>
      </c>
      <c r="D28" s="25" t="s">
        <v>503</v>
      </c>
    </row>
    <row r="29" spans="2:5" ht="27" customHeight="1" x14ac:dyDescent="0.3">
      <c r="B29" s="41">
        <v>8</v>
      </c>
      <c r="C29" s="3" t="s">
        <v>504</v>
      </c>
      <c r="D29" s="25" t="s">
        <v>505</v>
      </c>
    </row>
    <row r="30" spans="2:5" ht="27" customHeight="1" x14ac:dyDescent="0.3">
      <c r="B30" s="41">
        <v>9</v>
      </c>
      <c r="C30" s="3" t="s">
        <v>506</v>
      </c>
      <c r="D30" s="25" t="s">
        <v>507</v>
      </c>
    </row>
    <row r="32" spans="2:5" ht="14.25" customHeight="1" x14ac:dyDescent="0.3">
      <c r="B32" s="60" t="s">
        <v>164</v>
      </c>
      <c r="C32" s="60"/>
    </row>
    <row r="33" spans="2:5" x14ac:dyDescent="0.3">
      <c r="B33" s="22" t="s">
        <v>165</v>
      </c>
      <c r="C33" s="22" t="s">
        <v>166</v>
      </c>
    </row>
    <row r="34" spans="2:5" ht="27" customHeight="1" x14ac:dyDescent="0.3">
      <c r="B34" s="31" t="s">
        <v>508</v>
      </c>
      <c r="C34" s="3" t="s">
        <v>509</v>
      </c>
    </row>
    <row r="35" spans="2:5" ht="27" customHeight="1" x14ac:dyDescent="0.3">
      <c r="B35" s="31" t="s">
        <v>167</v>
      </c>
      <c r="C35" s="3" t="s">
        <v>510</v>
      </c>
    </row>
    <row r="36" spans="2:5" ht="27" customHeight="1" x14ac:dyDescent="0.3">
      <c r="B36" s="31" t="s">
        <v>169</v>
      </c>
      <c r="C36" s="3" t="s">
        <v>511</v>
      </c>
    </row>
    <row r="37" spans="2:5" ht="96" customHeight="1" x14ac:dyDescent="0.3">
      <c r="B37" s="31" t="s">
        <v>512</v>
      </c>
      <c r="C37" s="3" t="s">
        <v>513</v>
      </c>
    </row>
    <row r="38" spans="2:5" ht="96" customHeight="1" x14ac:dyDescent="0.3">
      <c r="B38" s="31" t="s">
        <v>514</v>
      </c>
      <c r="C38" s="3" t="s">
        <v>515</v>
      </c>
    </row>
    <row r="39" spans="2:5" ht="27" customHeight="1" x14ac:dyDescent="0.3">
      <c r="B39" s="31" t="s">
        <v>516</v>
      </c>
      <c r="C39" s="3" t="s">
        <v>517</v>
      </c>
    </row>
    <row r="40" spans="2:5" ht="27" customHeight="1" x14ac:dyDescent="0.3">
      <c r="B40" s="31" t="s">
        <v>171</v>
      </c>
      <c r="C40" s="3" t="s">
        <v>518</v>
      </c>
    </row>
    <row r="41" spans="2:5" x14ac:dyDescent="0.3">
      <c r="B41" s="31" t="s">
        <v>173</v>
      </c>
      <c r="C41" s="3" t="s">
        <v>519</v>
      </c>
    </row>
    <row r="42" spans="2:5" ht="27" customHeight="1" x14ac:dyDescent="0.3">
      <c r="B42" s="31" t="s">
        <v>175</v>
      </c>
      <c r="C42" s="3" t="s">
        <v>520</v>
      </c>
    </row>
    <row r="43" spans="2:5" ht="27" customHeight="1" x14ac:dyDescent="0.3">
      <c r="B43" s="31" t="s">
        <v>177</v>
      </c>
      <c r="C43" s="3" t="s">
        <v>521</v>
      </c>
    </row>
    <row r="44" spans="2:5" x14ac:dyDescent="0.3">
      <c r="B44" s="31" t="s">
        <v>179</v>
      </c>
      <c r="C44" s="3" t="s">
        <v>522</v>
      </c>
    </row>
    <row r="45" spans="2:5" ht="27" customHeight="1" x14ac:dyDescent="0.3">
      <c r="B45" s="31" t="s">
        <v>181</v>
      </c>
      <c r="C45" s="3" t="s">
        <v>523</v>
      </c>
    </row>
    <row r="46" spans="2:5" ht="27" customHeight="1" x14ac:dyDescent="0.3">
      <c r="B46" s="31" t="s">
        <v>183</v>
      </c>
      <c r="C46" s="3" t="s">
        <v>524</v>
      </c>
    </row>
    <row r="48" spans="2:5" ht="30.75" customHeight="1" x14ac:dyDescent="0.3">
      <c r="B48" s="17" t="s">
        <v>382</v>
      </c>
      <c r="C48" s="34"/>
      <c r="D48" s="34"/>
      <c r="E48" s="34"/>
    </row>
    <row r="49" spans="2:11" ht="14.25" customHeight="1" x14ac:dyDescent="0.3">
      <c r="B49" s="62" t="s">
        <v>383</v>
      </c>
      <c r="C49" s="62"/>
      <c r="D49" s="62"/>
      <c r="E49" s="62"/>
    </row>
    <row r="50" spans="2:11" ht="28.5" customHeight="1" x14ac:dyDescent="0.3">
      <c r="B50" s="35" t="s">
        <v>384</v>
      </c>
      <c r="C50" s="63" t="s">
        <v>525</v>
      </c>
      <c r="D50" s="63"/>
      <c r="E50" s="63"/>
    </row>
    <row r="51" spans="2:11" ht="28.5" customHeight="1" x14ac:dyDescent="0.3">
      <c r="B51" s="35" t="s">
        <v>386</v>
      </c>
      <c r="C51" s="63" t="s">
        <v>526</v>
      </c>
      <c r="D51" s="63"/>
      <c r="E51" s="63"/>
    </row>
    <row r="52" spans="2:11" ht="72" customHeight="1" x14ac:dyDescent="0.3">
      <c r="B52" s="35" t="s">
        <v>388</v>
      </c>
      <c r="C52" s="64" t="s">
        <v>527</v>
      </c>
      <c r="D52" s="64"/>
      <c r="E52" s="64"/>
    </row>
    <row r="53" spans="2:11" ht="28.5" customHeight="1" x14ac:dyDescent="0.3">
      <c r="B53" s="35" t="s">
        <v>390</v>
      </c>
      <c r="C53" s="68" t="s">
        <v>528</v>
      </c>
      <c r="D53" s="68"/>
      <c r="E53" s="68"/>
    </row>
    <row r="54" spans="2:11" ht="57" customHeight="1" x14ac:dyDescent="0.3">
      <c r="B54" s="35" t="s">
        <v>392</v>
      </c>
      <c r="C54" s="68" t="s">
        <v>529</v>
      </c>
      <c r="D54" s="68"/>
      <c r="E54" s="68"/>
    </row>
    <row r="56" spans="2:11" ht="46.5" customHeight="1" x14ac:dyDescent="0.3">
      <c r="B56" s="17" t="s">
        <v>195</v>
      </c>
      <c r="C56" s="34"/>
      <c r="D56" s="34"/>
      <c r="E56" s="34"/>
      <c r="F56" s="34"/>
      <c r="G56" s="34"/>
      <c r="H56" s="34"/>
      <c r="I56" s="34"/>
      <c r="J56" s="34"/>
    </row>
    <row r="57" spans="2:11" ht="27" customHeight="1" x14ac:dyDescent="0.3">
      <c r="B57" s="26" t="s">
        <v>196</v>
      </c>
      <c r="C57" s="26" t="s">
        <v>197</v>
      </c>
      <c r="D57" s="26">
        <v>2</v>
      </c>
      <c r="E57" s="26">
        <v>3</v>
      </c>
      <c r="F57" s="26">
        <v>4</v>
      </c>
      <c r="G57" s="26">
        <v>5</v>
      </c>
      <c r="H57" s="26">
        <v>6</v>
      </c>
      <c r="I57" s="26">
        <v>7</v>
      </c>
      <c r="J57" s="26">
        <v>8</v>
      </c>
      <c r="K57" s="26">
        <v>9</v>
      </c>
    </row>
    <row r="58" spans="2:11" ht="69" customHeight="1" x14ac:dyDescent="0.3">
      <c r="B58" s="27" t="s">
        <v>130</v>
      </c>
      <c r="C58" s="27" t="s">
        <v>530</v>
      </c>
      <c r="D58" s="27" t="s">
        <v>531</v>
      </c>
      <c r="E58" s="27" t="s">
        <v>532</v>
      </c>
      <c r="F58" s="27" t="s">
        <v>533</v>
      </c>
      <c r="G58" s="27" t="s">
        <v>534</v>
      </c>
      <c r="H58" s="27" t="s">
        <v>535</v>
      </c>
      <c r="I58" s="27" t="s">
        <v>536</v>
      </c>
      <c r="J58" s="27" t="s">
        <v>537</v>
      </c>
      <c r="K58" s="27" t="s">
        <v>538</v>
      </c>
    </row>
    <row r="59" spans="2:11" ht="69" customHeight="1" x14ac:dyDescent="0.3">
      <c r="B59" s="16" t="s">
        <v>208</v>
      </c>
      <c r="C59" s="3" t="s">
        <v>539</v>
      </c>
      <c r="D59" s="3" t="s">
        <v>540</v>
      </c>
      <c r="E59" s="3" t="s">
        <v>541</v>
      </c>
      <c r="F59" s="3" t="s">
        <v>542</v>
      </c>
      <c r="G59" s="3" t="s">
        <v>543</v>
      </c>
      <c r="H59" s="3" t="s">
        <v>544</v>
      </c>
      <c r="I59" s="3" t="s">
        <v>545</v>
      </c>
      <c r="J59" s="3" t="s">
        <v>546</v>
      </c>
      <c r="K59" s="3" t="s">
        <v>547</v>
      </c>
    </row>
    <row r="60" spans="2:11" x14ac:dyDescent="0.3">
      <c r="B60" s="16" t="s">
        <v>167</v>
      </c>
      <c r="C60" s="23" t="s">
        <v>219</v>
      </c>
      <c r="D60" s="23" t="s">
        <v>224</v>
      </c>
      <c r="E60" s="23" t="s">
        <v>223</v>
      </c>
      <c r="F60" s="23" t="s">
        <v>224</v>
      </c>
      <c r="G60" s="23" t="s">
        <v>221</v>
      </c>
      <c r="H60" s="23" t="s">
        <v>221</v>
      </c>
      <c r="I60" s="23" t="s">
        <v>223</v>
      </c>
      <c r="J60" s="23" t="s">
        <v>219</v>
      </c>
      <c r="K60" s="23" t="s">
        <v>224</v>
      </c>
    </row>
    <row r="61" spans="2:11" x14ac:dyDescent="0.3">
      <c r="B61" s="16" t="s">
        <v>169</v>
      </c>
      <c r="C61" s="23" t="s">
        <v>278</v>
      </c>
      <c r="D61" s="23" t="s">
        <v>227</v>
      </c>
      <c r="E61" s="23" t="s">
        <v>221</v>
      </c>
      <c r="F61" s="23" t="s">
        <v>227</v>
      </c>
      <c r="G61" s="23" t="s">
        <v>221</v>
      </c>
      <c r="H61" s="23" t="s">
        <v>278</v>
      </c>
      <c r="I61" s="23" t="s">
        <v>417</v>
      </c>
      <c r="J61" s="23" t="s">
        <v>278</v>
      </c>
      <c r="K61" s="23" t="s">
        <v>227</v>
      </c>
    </row>
    <row r="62" spans="2:11" x14ac:dyDescent="0.3">
      <c r="B62" s="16" t="s">
        <v>231</v>
      </c>
      <c r="C62" s="23" t="s">
        <v>219</v>
      </c>
      <c r="D62" s="23" t="s">
        <v>223</v>
      </c>
      <c r="E62" s="23" t="s">
        <v>256</v>
      </c>
      <c r="F62" s="23" t="s">
        <v>223</v>
      </c>
      <c r="G62" s="23" t="s">
        <v>256</v>
      </c>
      <c r="H62" s="23" t="s">
        <v>219</v>
      </c>
      <c r="I62" s="23" t="s">
        <v>219</v>
      </c>
      <c r="J62" s="23" t="s">
        <v>219</v>
      </c>
      <c r="K62" s="23" t="s">
        <v>256</v>
      </c>
    </row>
    <row r="63" spans="2:11" x14ac:dyDescent="0.3">
      <c r="B63" s="16" t="s">
        <v>177</v>
      </c>
      <c r="C63" s="23" t="s">
        <v>219</v>
      </c>
      <c r="D63" s="23" t="s">
        <v>219</v>
      </c>
      <c r="E63" s="23" t="s">
        <v>219</v>
      </c>
      <c r="F63" s="23" t="s">
        <v>219</v>
      </c>
      <c r="G63" s="23" t="s">
        <v>219</v>
      </c>
      <c r="H63" s="23" t="s">
        <v>219</v>
      </c>
      <c r="I63" s="23" t="s">
        <v>219</v>
      </c>
      <c r="J63" s="23" t="s">
        <v>219</v>
      </c>
      <c r="K63" s="23" t="s">
        <v>219</v>
      </c>
    </row>
    <row r="64" spans="2:11" x14ac:dyDescent="0.3">
      <c r="B64" s="16" t="s">
        <v>179</v>
      </c>
      <c r="C64" s="23" t="s">
        <v>223</v>
      </c>
      <c r="D64" s="23" t="s">
        <v>223</v>
      </c>
      <c r="E64" s="23" t="s">
        <v>223</v>
      </c>
      <c r="F64" s="23" t="s">
        <v>223</v>
      </c>
      <c r="G64" s="23" t="s">
        <v>223</v>
      </c>
      <c r="H64" s="23" t="s">
        <v>223</v>
      </c>
      <c r="I64" s="23" t="s">
        <v>223</v>
      </c>
      <c r="J64" s="23" t="s">
        <v>223</v>
      </c>
      <c r="K64" s="23" t="s">
        <v>223</v>
      </c>
    </row>
    <row r="65" spans="2:11" ht="27" customHeight="1" x14ac:dyDescent="0.3">
      <c r="B65" s="16" t="s">
        <v>238</v>
      </c>
      <c r="C65" s="23" t="s">
        <v>223</v>
      </c>
      <c r="D65" s="23" t="s">
        <v>223</v>
      </c>
      <c r="E65" s="23" t="s">
        <v>223</v>
      </c>
      <c r="F65" s="23" t="s">
        <v>223</v>
      </c>
      <c r="G65" s="23" t="s">
        <v>223</v>
      </c>
      <c r="H65" s="23" t="s">
        <v>223</v>
      </c>
      <c r="I65" s="23" t="s">
        <v>223</v>
      </c>
      <c r="J65" s="23" t="s">
        <v>223</v>
      </c>
      <c r="K65" s="23" t="s">
        <v>223</v>
      </c>
    </row>
    <row r="66" spans="2:11" ht="27" customHeight="1" x14ac:dyDescent="0.3">
      <c r="B66" s="16" t="s">
        <v>181</v>
      </c>
      <c r="C66" s="23" t="s">
        <v>232</v>
      </c>
      <c r="D66" s="23" t="s">
        <v>424</v>
      </c>
      <c r="E66" s="23" t="s">
        <v>548</v>
      </c>
      <c r="F66" s="23" t="s">
        <v>232</v>
      </c>
      <c r="G66" s="23" t="s">
        <v>221</v>
      </c>
      <c r="H66" s="23" t="s">
        <v>232</v>
      </c>
      <c r="I66" s="23" t="s">
        <v>232</v>
      </c>
      <c r="J66" s="23" t="s">
        <v>232</v>
      </c>
      <c r="K66" s="23" t="s">
        <v>232</v>
      </c>
    </row>
    <row r="67" spans="2:11" x14ac:dyDescent="0.3">
      <c r="B67" s="16" t="s">
        <v>183</v>
      </c>
      <c r="C67" s="23" t="s">
        <v>228</v>
      </c>
      <c r="D67" s="23" t="s">
        <v>256</v>
      </c>
      <c r="E67" s="23" t="s">
        <v>228</v>
      </c>
      <c r="F67" s="23" t="s">
        <v>228</v>
      </c>
      <c r="G67" s="23" t="s">
        <v>256</v>
      </c>
      <c r="H67" s="23" t="s">
        <v>228</v>
      </c>
      <c r="I67" s="23" t="s">
        <v>228</v>
      </c>
      <c r="J67" s="23" t="s">
        <v>228</v>
      </c>
      <c r="K67" s="23" t="s">
        <v>228</v>
      </c>
    </row>
    <row r="68" spans="2:11" ht="69" customHeight="1" x14ac:dyDescent="0.3">
      <c r="B68" s="16" t="s">
        <v>243</v>
      </c>
      <c r="C68" s="3" t="s">
        <v>549</v>
      </c>
      <c r="D68" s="3" t="s">
        <v>550</v>
      </c>
      <c r="E68" s="3" t="s">
        <v>551</v>
      </c>
      <c r="F68" s="3" t="s">
        <v>552</v>
      </c>
      <c r="G68" s="3" t="s">
        <v>553</v>
      </c>
      <c r="H68" s="3" t="s">
        <v>554</v>
      </c>
      <c r="I68" s="3" t="s">
        <v>555</v>
      </c>
      <c r="J68" s="3" t="s">
        <v>556</v>
      </c>
      <c r="K68" s="3" t="s">
        <v>557</v>
      </c>
    </row>
    <row r="69" spans="2:11" x14ac:dyDescent="0.3">
      <c r="B69" s="18"/>
      <c r="C69" s="9"/>
      <c r="D69" s="9"/>
      <c r="E69" s="9"/>
      <c r="F69" s="9"/>
      <c r="G69" s="9"/>
      <c r="H69" s="9"/>
      <c r="I69" s="9"/>
      <c r="J69" s="9"/>
      <c r="K69" s="9"/>
    </row>
    <row r="70" spans="2:11" ht="14.25" customHeight="1" x14ac:dyDescent="0.3">
      <c r="B70" s="60" t="s">
        <v>254</v>
      </c>
      <c r="C70" s="60"/>
      <c r="D70" s="60"/>
      <c r="E70" s="60"/>
      <c r="F70" s="60"/>
      <c r="G70" s="60"/>
      <c r="H70" s="60"/>
      <c r="I70" s="60"/>
      <c r="J70" s="60"/>
    </row>
    <row r="71" spans="2:11" ht="41.25" customHeight="1" x14ac:dyDescent="0.3">
      <c r="B71" s="22" t="s">
        <v>255</v>
      </c>
      <c r="C71" s="22" t="s">
        <v>167</v>
      </c>
      <c r="D71" s="22" t="s">
        <v>169</v>
      </c>
      <c r="E71" s="22" t="s">
        <v>171</v>
      </c>
      <c r="F71" s="22" t="s">
        <v>177</v>
      </c>
      <c r="G71" s="22" t="s">
        <v>179</v>
      </c>
      <c r="H71" s="22" t="s">
        <v>175</v>
      </c>
      <c r="I71" s="22" t="s">
        <v>181</v>
      </c>
      <c r="J71" s="22" t="s">
        <v>183</v>
      </c>
    </row>
    <row r="72" spans="2:11" x14ac:dyDescent="0.3">
      <c r="B72" s="31">
        <v>1</v>
      </c>
      <c r="C72" s="23" t="s">
        <v>219</v>
      </c>
      <c r="D72" s="23" t="s">
        <v>278</v>
      </c>
      <c r="E72" s="23" t="s">
        <v>219</v>
      </c>
      <c r="F72" s="23" t="s">
        <v>240</v>
      </c>
      <c r="G72" s="23" t="s">
        <v>223</v>
      </c>
      <c r="H72" s="23" t="s">
        <v>223</v>
      </c>
      <c r="I72" s="23" t="s">
        <v>232</v>
      </c>
      <c r="J72" s="44" t="s">
        <v>228</v>
      </c>
    </row>
    <row r="73" spans="2:11" x14ac:dyDescent="0.3">
      <c r="B73" s="31">
        <v>2</v>
      </c>
      <c r="C73" s="23" t="s">
        <v>224</v>
      </c>
      <c r="D73" s="23" t="s">
        <v>227</v>
      </c>
      <c r="E73" s="23" t="s">
        <v>223</v>
      </c>
      <c r="F73" s="23" t="s">
        <v>219</v>
      </c>
      <c r="G73" s="23" t="s">
        <v>223</v>
      </c>
      <c r="H73" s="23" t="s">
        <v>223</v>
      </c>
      <c r="I73" s="23" t="s">
        <v>424</v>
      </c>
      <c r="J73" s="44" t="s">
        <v>228</v>
      </c>
    </row>
    <row r="74" spans="2:11" x14ac:dyDescent="0.3">
      <c r="B74" s="31">
        <v>3</v>
      </c>
      <c r="C74" s="23" t="s">
        <v>223</v>
      </c>
      <c r="D74" s="23" t="s">
        <v>221</v>
      </c>
      <c r="E74" s="23" t="s">
        <v>256</v>
      </c>
      <c r="F74" s="23" t="s">
        <v>219</v>
      </c>
      <c r="G74" s="23" t="s">
        <v>223</v>
      </c>
      <c r="H74" s="23" t="s">
        <v>223</v>
      </c>
      <c r="I74" s="23" t="s">
        <v>256</v>
      </c>
      <c r="J74" s="44" t="s">
        <v>228</v>
      </c>
    </row>
    <row r="75" spans="2:11" x14ac:dyDescent="0.3">
      <c r="B75" s="31">
        <v>4</v>
      </c>
      <c r="C75" s="23" t="s">
        <v>224</v>
      </c>
      <c r="D75" s="23" t="s">
        <v>227</v>
      </c>
      <c r="E75" s="23" t="s">
        <v>223</v>
      </c>
      <c r="F75" s="23" t="s">
        <v>219</v>
      </c>
      <c r="G75" s="23" t="s">
        <v>223</v>
      </c>
      <c r="H75" s="23" t="s">
        <v>223</v>
      </c>
      <c r="I75" s="23" t="s">
        <v>232</v>
      </c>
      <c r="J75" s="44" t="s">
        <v>228</v>
      </c>
    </row>
    <row r="76" spans="2:11" x14ac:dyDescent="0.3">
      <c r="B76" s="31">
        <v>5</v>
      </c>
      <c r="C76" s="23" t="s">
        <v>221</v>
      </c>
      <c r="D76" s="23" t="s">
        <v>221</v>
      </c>
      <c r="E76" s="23" t="s">
        <v>256</v>
      </c>
      <c r="F76" s="23" t="s">
        <v>219</v>
      </c>
      <c r="G76" s="23" t="s">
        <v>223</v>
      </c>
      <c r="H76" s="23" t="s">
        <v>223</v>
      </c>
      <c r="I76" s="23" t="s">
        <v>221</v>
      </c>
      <c r="J76" s="44" t="s">
        <v>228</v>
      </c>
    </row>
    <row r="77" spans="2:11" x14ac:dyDescent="0.3">
      <c r="B77" s="31">
        <v>6</v>
      </c>
      <c r="C77" s="23" t="s">
        <v>221</v>
      </c>
      <c r="D77" s="23" t="s">
        <v>278</v>
      </c>
      <c r="E77" s="23" t="s">
        <v>219</v>
      </c>
      <c r="F77" s="23" t="s">
        <v>219</v>
      </c>
      <c r="G77" s="23" t="s">
        <v>223</v>
      </c>
      <c r="H77" s="23" t="s">
        <v>224</v>
      </c>
      <c r="I77" s="23" t="s">
        <v>232</v>
      </c>
      <c r="J77" s="44" t="s">
        <v>228</v>
      </c>
    </row>
    <row r="78" spans="2:11" x14ac:dyDescent="0.3">
      <c r="B78" s="31">
        <v>7</v>
      </c>
      <c r="C78" s="23" t="s">
        <v>223</v>
      </c>
      <c r="D78" s="23" t="s">
        <v>417</v>
      </c>
      <c r="E78" s="23" t="s">
        <v>219</v>
      </c>
      <c r="F78" s="23" t="s">
        <v>219</v>
      </c>
      <c r="G78" s="23" t="s">
        <v>223</v>
      </c>
      <c r="H78" s="23" t="s">
        <v>223</v>
      </c>
      <c r="I78" s="23" t="s">
        <v>232</v>
      </c>
      <c r="J78" s="23" t="s">
        <v>228</v>
      </c>
    </row>
    <row r="79" spans="2:11" x14ac:dyDescent="0.3">
      <c r="B79" s="31">
        <v>8</v>
      </c>
      <c r="C79" s="23" t="s">
        <v>219</v>
      </c>
      <c r="D79" s="23" t="s">
        <v>278</v>
      </c>
      <c r="E79" s="23" t="s">
        <v>219</v>
      </c>
      <c r="F79" s="23" t="s">
        <v>219</v>
      </c>
      <c r="G79" s="23" t="s">
        <v>223</v>
      </c>
      <c r="H79" s="23" t="s">
        <v>224</v>
      </c>
      <c r="I79" s="23" t="s">
        <v>232</v>
      </c>
      <c r="J79" s="44" t="s">
        <v>228</v>
      </c>
    </row>
    <row r="80" spans="2:11" x14ac:dyDescent="0.3">
      <c r="B80" s="31">
        <v>9</v>
      </c>
      <c r="C80" s="23" t="s">
        <v>224</v>
      </c>
      <c r="D80" s="23" t="s">
        <v>227</v>
      </c>
      <c r="E80" s="23" t="s">
        <v>256</v>
      </c>
      <c r="F80" s="23" t="s">
        <v>219</v>
      </c>
      <c r="G80" s="23" t="s">
        <v>223</v>
      </c>
      <c r="H80" s="23" t="s">
        <v>223</v>
      </c>
      <c r="I80" s="23" t="s">
        <v>232</v>
      </c>
      <c r="J80" s="44" t="s">
        <v>228</v>
      </c>
    </row>
    <row r="82" spans="2:10" ht="30.75" customHeight="1" x14ac:dyDescent="0.3">
      <c r="B82" s="17" t="s">
        <v>264</v>
      </c>
      <c r="C82" s="34"/>
      <c r="D82" s="34"/>
      <c r="E82" s="34"/>
      <c r="F82" s="34"/>
      <c r="G82" s="34"/>
      <c r="H82" s="34"/>
      <c r="I82" s="34"/>
    </row>
    <row r="83" spans="2:10" x14ac:dyDescent="0.3">
      <c r="B83" s="26" t="s">
        <v>196</v>
      </c>
      <c r="C83" s="27">
        <v>10</v>
      </c>
      <c r="D83" s="27">
        <v>11</v>
      </c>
      <c r="E83" s="27">
        <v>12</v>
      </c>
      <c r="F83" s="27">
        <v>13</v>
      </c>
      <c r="G83" s="27">
        <v>14</v>
      </c>
      <c r="H83" s="27">
        <v>15</v>
      </c>
      <c r="I83" s="27">
        <v>16</v>
      </c>
    </row>
    <row r="84" spans="2:10" ht="82.5" customHeight="1" x14ac:dyDescent="0.3">
      <c r="B84" s="27" t="s">
        <v>130</v>
      </c>
      <c r="C84" s="27" t="s">
        <v>558</v>
      </c>
      <c r="D84" s="27" t="s">
        <v>559</v>
      </c>
      <c r="E84" s="27" t="s">
        <v>560</v>
      </c>
      <c r="F84" s="27" t="s">
        <v>561</v>
      </c>
      <c r="G84" s="27" t="s">
        <v>562</v>
      </c>
      <c r="H84" s="27" t="s">
        <v>563</v>
      </c>
      <c r="I84" s="27" t="s">
        <v>564</v>
      </c>
    </row>
    <row r="85" spans="2:10" ht="244.5" customHeight="1" x14ac:dyDescent="0.3">
      <c r="B85" s="16" t="s">
        <v>208</v>
      </c>
      <c r="C85" s="35" t="s">
        <v>565</v>
      </c>
      <c r="D85" s="35" t="s">
        <v>566</v>
      </c>
      <c r="E85" s="35" t="s">
        <v>567</v>
      </c>
      <c r="F85" s="35" t="s">
        <v>568</v>
      </c>
      <c r="G85" s="35" t="s">
        <v>569</v>
      </c>
      <c r="H85" s="35" t="s">
        <v>570</v>
      </c>
      <c r="I85" s="35" t="s">
        <v>571</v>
      </c>
    </row>
    <row r="86" spans="2:10" x14ac:dyDescent="0.3">
      <c r="B86" s="16" t="s">
        <v>167</v>
      </c>
      <c r="C86" s="35" t="s">
        <v>572</v>
      </c>
      <c r="D86" s="25" t="s">
        <v>221</v>
      </c>
      <c r="E86" s="35" t="s">
        <v>219</v>
      </c>
      <c r="F86" s="35" t="s">
        <v>223</v>
      </c>
      <c r="G86" s="35" t="s">
        <v>221</v>
      </c>
      <c r="H86" s="35" t="s">
        <v>277</v>
      </c>
      <c r="I86" s="25" t="s">
        <v>221</v>
      </c>
    </row>
    <row r="87" spans="2:10" x14ac:dyDescent="0.3">
      <c r="B87" s="16" t="s">
        <v>169</v>
      </c>
      <c r="C87" s="35" t="s">
        <v>229</v>
      </c>
      <c r="D87" s="36" t="s">
        <v>221</v>
      </c>
      <c r="E87" s="35" t="s">
        <v>278</v>
      </c>
      <c r="F87" s="35" t="s">
        <v>229</v>
      </c>
      <c r="G87" s="25" t="s">
        <v>221</v>
      </c>
      <c r="H87" s="35" t="s">
        <v>221</v>
      </c>
      <c r="I87" s="35" t="s">
        <v>221</v>
      </c>
    </row>
    <row r="88" spans="2:10" x14ac:dyDescent="0.3">
      <c r="B88" s="16" t="s">
        <v>231</v>
      </c>
      <c r="C88" s="25" t="s">
        <v>573</v>
      </c>
      <c r="D88" s="35" t="s">
        <v>233</v>
      </c>
      <c r="E88" s="35" t="s">
        <v>219</v>
      </c>
      <c r="F88" s="35" t="s">
        <v>450</v>
      </c>
      <c r="G88" s="35" t="s">
        <v>232</v>
      </c>
      <c r="H88" s="35" t="s">
        <v>232</v>
      </c>
      <c r="I88" s="35" t="s">
        <v>233</v>
      </c>
    </row>
    <row r="89" spans="2:10" x14ac:dyDescent="0.3">
      <c r="B89" s="16" t="s">
        <v>177</v>
      </c>
      <c r="C89" s="25" t="s">
        <v>279</v>
      </c>
      <c r="D89" s="35" t="s">
        <v>233</v>
      </c>
      <c r="E89" s="35" t="s">
        <v>233</v>
      </c>
      <c r="F89" s="35" t="s">
        <v>233</v>
      </c>
      <c r="G89" s="35" t="s">
        <v>233</v>
      </c>
      <c r="H89" s="25" t="s">
        <v>232</v>
      </c>
      <c r="I89" s="35" t="s">
        <v>233</v>
      </c>
    </row>
    <row r="90" spans="2:10" x14ac:dyDescent="0.3">
      <c r="B90" s="16" t="s">
        <v>179</v>
      </c>
      <c r="C90" s="25" t="s">
        <v>223</v>
      </c>
      <c r="D90" s="35" t="s">
        <v>223</v>
      </c>
      <c r="E90" s="35" t="s">
        <v>223</v>
      </c>
      <c r="F90" s="35" t="s">
        <v>223</v>
      </c>
      <c r="G90" s="25" t="s">
        <v>223</v>
      </c>
      <c r="H90" s="35" t="s">
        <v>223</v>
      </c>
      <c r="I90" s="35" t="s">
        <v>223</v>
      </c>
    </row>
    <row r="91" spans="2:10" ht="28.5" customHeight="1" x14ac:dyDescent="0.3">
      <c r="B91" s="16" t="s">
        <v>238</v>
      </c>
      <c r="C91" s="25" t="s">
        <v>225</v>
      </c>
      <c r="D91" s="35" t="s">
        <v>225</v>
      </c>
      <c r="E91" s="35" t="s">
        <v>449</v>
      </c>
      <c r="F91" s="35" t="s">
        <v>449</v>
      </c>
      <c r="G91" s="25" t="s">
        <v>225</v>
      </c>
      <c r="H91" s="25" t="s">
        <v>225</v>
      </c>
      <c r="I91" s="35" t="s">
        <v>225</v>
      </c>
    </row>
    <row r="92" spans="2:10" x14ac:dyDescent="0.3">
      <c r="B92" s="16" t="s">
        <v>181</v>
      </c>
      <c r="C92" s="25" t="s">
        <v>223</v>
      </c>
      <c r="D92" s="35" t="s">
        <v>223</v>
      </c>
      <c r="E92" s="35" t="s">
        <v>223</v>
      </c>
      <c r="F92" s="35" t="s">
        <v>223</v>
      </c>
      <c r="G92" s="35" t="s">
        <v>223</v>
      </c>
      <c r="H92" s="35" t="s">
        <v>223</v>
      </c>
      <c r="I92" s="35" t="s">
        <v>232</v>
      </c>
    </row>
    <row r="93" spans="2:10" x14ac:dyDescent="0.3">
      <c r="B93" s="16" t="s">
        <v>183</v>
      </c>
      <c r="C93" s="25" t="s">
        <v>223</v>
      </c>
      <c r="D93" s="35" t="s">
        <v>224</v>
      </c>
      <c r="E93" s="35" t="s">
        <v>223</v>
      </c>
      <c r="F93" s="35" t="s">
        <v>223</v>
      </c>
      <c r="G93" s="25" t="s">
        <v>221</v>
      </c>
      <c r="H93" s="35" t="s">
        <v>221</v>
      </c>
      <c r="I93" s="25" t="s">
        <v>232</v>
      </c>
    </row>
    <row r="94" spans="2:10" ht="192.75" customHeight="1" x14ac:dyDescent="0.3">
      <c r="B94" s="16" t="s">
        <v>243</v>
      </c>
      <c r="C94" s="35" t="s">
        <v>574</v>
      </c>
      <c r="D94" s="35" t="s">
        <v>575</v>
      </c>
      <c r="E94" s="35" t="s">
        <v>576</v>
      </c>
      <c r="F94" s="35" t="s">
        <v>577</v>
      </c>
      <c r="G94" s="25" t="s">
        <v>578</v>
      </c>
      <c r="H94" s="25" t="s">
        <v>579</v>
      </c>
      <c r="I94" s="35" t="s">
        <v>580</v>
      </c>
    </row>
    <row r="96" spans="2:10" ht="14.25" customHeight="1" x14ac:dyDescent="0.3">
      <c r="B96" s="60" t="s">
        <v>581</v>
      </c>
      <c r="C96" s="60"/>
      <c r="D96" s="60"/>
      <c r="E96" s="60"/>
      <c r="F96" s="60"/>
      <c r="G96" s="60"/>
      <c r="H96" s="60"/>
      <c r="I96" s="60"/>
      <c r="J96" s="60"/>
    </row>
    <row r="97" spans="2:10" ht="41.25" customHeight="1" x14ac:dyDescent="0.3">
      <c r="B97" s="22" t="s">
        <v>255</v>
      </c>
      <c r="C97" s="22" t="s">
        <v>167</v>
      </c>
      <c r="D97" s="22" t="s">
        <v>169</v>
      </c>
      <c r="E97" s="22" t="s">
        <v>171</v>
      </c>
      <c r="F97" s="22" t="s">
        <v>177</v>
      </c>
      <c r="G97" s="22" t="s">
        <v>179</v>
      </c>
      <c r="H97" s="22" t="s">
        <v>175</v>
      </c>
      <c r="I97" s="22" t="s">
        <v>181</v>
      </c>
      <c r="J97" s="22" t="s">
        <v>183</v>
      </c>
    </row>
    <row r="98" spans="2:10" ht="42.75" customHeight="1" x14ac:dyDescent="0.3">
      <c r="B98" s="44">
        <v>10</v>
      </c>
      <c r="C98" s="44" t="s">
        <v>223</v>
      </c>
      <c r="D98" s="44" t="s">
        <v>229</v>
      </c>
      <c r="E98" s="44" t="s">
        <v>582</v>
      </c>
      <c r="F98" s="44" t="s">
        <v>583</v>
      </c>
      <c r="G98" s="37" t="s">
        <v>223</v>
      </c>
      <c r="H98" s="37" t="s">
        <v>225</v>
      </c>
      <c r="I98" s="37" t="s">
        <v>223</v>
      </c>
      <c r="J98" s="37" t="s">
        <v>223</v>
      </c>
    </row>
    <row r="99" spans="2:10" x14ac:dyDescent="0.3">
      <c r="B99" s="44">
        <v>11</v>
      </c>
      <c r="C99" s="44" t="s">
        <v>221</v>
      </c>
      <c r="D99" s="44" t="s">
        <v>221</v>
      </c>
      <c r="E99" s="44" t="s">
        <v>233</v>
      </c>
      <c r="F99" s="44" t="s">
        <v>233</v>
      </c>
      <c r="G99" s="37" t="s">
        <v>223</v>
      </c>
      <c r="H99" s="37" t="s">
        <v>225</v>
      </c>
      <c r="I99" s="37" t="s">
        <v>223</v>
      </c>
      <c r="J99" s="37" t="s">
        <v>224</v>
      </c>
    </row>
    <row r="100" spans="2:10" x14ac:dyDescent="0.3">
      <c r="B100" s="44">
        <v>12</v>
      </c>
      <c r="C100" s="44" t="s">
        <v>219</v>
      </c>
      <c r="D100" s="44" t="s">
        <v>278</v>
      </c>
      <c r="E100" s="44" t="s">
        <v>219</v>
      </c>
      <c r="F100" s="44" t="s">
        <v>233</v>
      </c>
      <c r="G100" s="37" t="s">
        <v>223</v>
      </c>
      <c r="H100" s="37" t="s">
        <v>584</v>
      </c>
      <c r="I100" s="37" t="s">
        <v>223</v>
      </c>
      <c r="J100" s="37" t="s">
        <v>223</v>
      </c>
    </row>
    <row r="101" spans="2:10" x14ac:dyDescent="0.3">
      <c r="B101" s="44">
        <v>13</v>
      </c>
      <c r="C101" s="44" t="s">
        <v>223</v>
      </c>
      <c r="D101" s="44" t="s">
        <v>229</v>
      </c>
      <c r="E101" s="44" t="s">
        <v>450</v>
      </c>
      <c r="F101" s="44" t="s">
        <v>233</v>
      </c>
      <c r="G101" s="37" t="s">
        <v>223</v>
      </c>
      <c r="H101" s="37" t="s">
        <v>584</v>
      </c>
      <c r="I101" s="37" t="s">
        <v>223</v>
      </c>
      <c r="J101" s="37" t="s">
        <v>223</v>
      </c>
    </row>
    <row r="102" spans="2:10" x14ac:dyDescent="0.3">
      <c r="B102" s="44">
        <v>14</v>
      </c>
      <c r="C102" s="44" t="s">
        <v>221</v>
      </c>
      <c r="D102" s="44" t="s">
        <v>221</v>
      </c>
      <c r="E102" s="44" t="s">
        <v>232</v>
      </c>
      <c r="F102" s="44" t="s">
        <v>233</v>
      </c>
      <c r="G102" s="37" t="s">
        <v>223</v>
      </c>
      <c r="H102" s="37" t="s">
        <v>225</v>
      </c>
      <c r="I102" s="37" t="s">
        <v>223</v>
      </c>
      <c r="J102" s="37" t="s">
        <v>221</v>
      </c>
    </row>
    <row r="103" spans="2:10" x14ac:dyDescent="0.3">
      <c r="B103" s="44">
        <v>15</v>
      </c>
      <c r="C103" s="44" t="s">
        <v>277</v>
      </c>
      <c r="D103" s="44" t="s">
        <v>221</v>
      </c>
      <c r="E103" s="44" t="s">
        <v>232</v>
      </c>
      <c r="F103" s="44" t="s">
        <v>232</v>
      </c>
      <c r="G103" s="37" t="s">
        <v>223</v>
      </c>
      <c r="H103" s="37" t="s">
        <v>225</v>
      </c>
      <c r="I103" s="37" t="s">
        <v>223</v>
      </c>
      <c r="J103" s="37" t="s">
        <v>221</v>
      </c>
    </row>
    <row r="104" spans="2:10" x14ac:dyDescent="0.3">
      <c r="B104" s="44">
        <v>16</v>
      </c>
      <c r="C104" s="44" t="s">
        <v>221</v>
      </c>
      <c r="D104" s="44" t="s">
        <v>221</v>
      </c>
      <c r="E104" s="44" t="s">
        <v>233</v>
      </c>
      <c r="F104" s="44" t="s">
        <v>233</v>
      </c>
      <c r="G104" s="37" t="s">
        <v>223</v>
      </c>
      <c r="H104" s="37" t="s">
        <v>225</v>
      </c>
      <c r="I104" s="37" t="s">
        <v>232</v>
      </c>
      <c r="J104" s="37" t="s">
        <v>232</v>
      </c>
    </row>
    <row r="106" spans="2:10" ht="14.25" customHeight="1" x14ac:dyDescent="0.3">
      <c r="B106" s="60" t="s">
        <v>288</v>
      </c>
      <c r="C106" s="60"/>
      <c r="D106" s="60"/>
      <c r="E106" s="60"/>
      <c r="F106" s="60"/>
      <c r="G106" s="60"/>
      <c r="H106" s="60"/>
      <c r="I106" s="60"/>
      <c r="J106" s="60"/>
    </row>
    <row r="107" spans="2:10" ht="41.25" customHeight="1" x14ac:dyDescent="0.3">
      <c r="B107" s="22" t="s">
        <v>289</v>
      </c>
      <c r="C107" s="22" t="s">
        <v>167</v>
      </c>
      <c r="D107" s="22" t="s">
        <v>169</v>
      </c>
      <c r="E107" s="22" t="s">
        <v>171</v>
      </c>
      <c r="F107" s="22" t="s">
        <v>177</v>
      </c>
      <c r="G107" s="22" t="s">
        <v>179</v>
      </c>
      <c r="H107" s="22" t="s">
        <v>175</v>
      </c>
      <c r="I107" s="22" t="s">
        <v>181</v>
      </c>
      <c r="J107" s="22" t="s">
        <v>183</v>
      </c>
    </row>
    <row r="108" spans="2:10" x14ac:dyDescent="0.3">
      <c r="B108" s="31">
        <v>1</v>
      </c>
      <c r="C108" s="47" t="s">
        <v>585</v>
      </c>
      <c r="D108" s="47" t="s">
        <v>278</v>
      </c>
      <c r="E108" s="47" t="s">
        <v>424</v>
      </c>
      <c r="F108" s="47" t="s">
        <v>221</v>
      </c>
      <c r="G108" s="47" t="s">
        <v>223</v>
      </c>
      <c r="H108" s="47" t="s">
        <v>223</v>
      </c>
      <c r="I108" s="47" t="s">
        <v>586</v>
      </c>
      <c r="J108" s="44" t="s">
        <v>219</v>
      </c>
    </row>
    <row r="109" spans="2:10" x14ac:dyDescent="0.3">
      <c r="B109" s="31">
        <v>2</v>
      </c>
      <c r="C109" s="47" t="s">
        <v>465</v>
      </c>
      <c r="D109" s="47" t="s">
        <v>587</v>
      </c>
      <c r="E109" s="47" t="s">
        <v>424</v>
      </c>
      <c r="F109" s="47" t="s">
        <v>223</v>
      </c>
      <c r="G109" s="47" t="s">
        <v>223</v>
      </c>
      <c r="H109" s="47" t="s">
        <v>258</v>
      </c>
      <c r="I109" s="47" t="s">
        <v>586</v>
      </c>
      <c r="J109" s="44" t="s">
        <v>219</v>
      </c>
    </row>
    <row r="110" spans="2:10" ht="27" customHeight="1" x14ac:dyDescent="0.3">
      <c r="B110" s="31">
        <v>3</v>
      </c>
      <c r="C110" s="47" t="s">
        <v>588</v>
      </c>
      <c r="D110" s="47" t="s">
        <v>278</v>
      </c>
      <c r="E110" s="47" t="s">
        <v>424</v>
      </c>
      <c r="F110" s="3" t="s">
        <v>589</v>
      </c>
      <c r="G110" s="47" t="s">
        <v>223</v>
      </c>
      <c r="H110" s="47" t="s">
        <v>223</v>
      </c>
      <c r="I110" s="47" t="s">
        <v>586</v>
      </c>
      <c r="J110" s="35" t="s">
        <v>228</v>
      </c>
    </row>
    <row r="111" spans="2:10" x14ac:dyDescent="0.3">
      <c r="B111" s="34"/>
      <c r="C111" s="34"/>
      <c r="D111" s="34"/>
      <c r="E111" s="34"/>
      <c r="F111" s="34"/>
      <c r="G111" s="34"/>
      <c r="H111" s="34"/>
      <c r="I111" s="34"/>
      <c r="J111" s="34"/>
    </row>
    <row r="112" spans="2:10" ht="14.25" customHeight="1" x14ac:dyDescent="0.3">
      <c r="B112" s="61" t="s">
        <v>306</v>
      </c>
      <c r="C112" s="61"/>
      <c r="D112" s="61"/>
      <c r="E112" s="61"/>
      <c r="F112" s="61"/>
      <c r="G112" s="61"/>
      <c r="H112" s="61"/>
      <c r="I112" s="34"/>
      <c r="J112" s="34"/>
    </row>
    <row r="113" spans="2:11" ht="41.25" customHeight="1" x14ac:dyDescent="0.3">
      <c r="B113" s="27" t="s">
        <v>255</v>
      </c>
      <c r="C113" s="27" t="s">
        <v>167</v>
      </c>
      <c r="D113" s="27" t="s">
        <v>307</v>
      </c>
      <c r="E113" s="27" t="s">
        <v>308</v>
      </c>
      <c r="F113" s="27" t="s">
        <v>309</v>
      </c>
      <c r="G113" s="27" t="s">
        <v>181</v>
      </c>
      <c r="H113" s="27" t="s">
        <v>310</v>
      </c>
      <c r="I113" s="34"/>
      <c r="J113" s="48"/>
      <c r="K113" s="46"/>
    </row>
    <row r="114" spans="2:11" ht="27" customHeight="1" x14ac:dyDescent="0.3">
      <c r="B114" s="22" t="s">
        <v>255</v>
      </c>
      <c r="C114" s="22" t="s">
        <v>167</v>
      </c>
      <c r="D114" s="22" t="s">
        <v>311</v>
      </c>
      <c r="E114" s="22" t="s">
        <v>308</v>
      </c>
      <c r="F114" s="22" t="s">
        <v>312</v>
      </c>
      <c r="G114" s="22" t="s">
        <v>181</v>
      </c>
      <c r="H114" s="22" t="s">
        <v>313</v>
      </c>
      <c r="I114" s="34"/>
      <c r="J114" s="48"/>
      <c r="K114" s="46"/>
    </row>
    <row r="115" spans="2:11" x14ac:dyDescent="0.3">
      <c r="B115" s="31">
        <v>1</v>
      </c>
      <c r="C115" s="23">
        <v>5</v>
      </c>
      <c r="D115" s="23">
        <v>5</v>
      </c>
      <c r="E115" s="23">
        <v>5</v>
      </c>
      <c r="F115" s="23">
        <v>4</v>
      </c>
      <c r="G115" s="23">
        <v>3</v>
      </c>
      <c r="H115" s="39">
        <f t="shared" ref="H115:H122" si="0">AVERAGE(C115:G115)</f>
        <v>4.4000000000000004</v>
      </c>
      <c r="I115" s="34"/>
      <c r="J115" s="48"/>
      <c r="K115" s="46"/>
    </row>
    <row r="116" spans="2:11" x14ac:dyDescent="0.3">
      <c r="B116" s="31">
        <v>2</v>
      </c>
      <c r="C116" s="23">
        <v>5</v>
      </c>
      <c r="D116" s="23">
        <v>4</v>
      </c>
      <c r="E116" s="23">
        <v>5</v>
      </c>
      <c r="F116" s="23">
        <v>5</v>
      </c>
      <c r="G116" s="23">
        <v>3</v>
      </c>
      <c r="H116" s="39">
        <f t="shared" si="0"/>
        <v>4.4000000000000004</v>
      </c>
      <c r="I116" s="34"/>
      <c r="J116" s="48"/>
      <c r="K116" s="46"/>
    </row>
    <row r="117" spans="2:11" x14ac:dyDescent="0.3">
      <c r="B117" s="31">
        <v>3</v>
      </c>
      <c r="C117" s="23">
        <v>3</v>
      </c>
      <c r="D117" s="23">
        <v>4</v>
      </c>
      <c r="E117" s="23">
        <v>4</v>
      </c>
      <c r="F117" s="23">
        <v>4</v>
      </c>
      <c r="G117" s="23">
        <v>3</v>
      </c>
      <c r="H117" s="39">
        <f t="shared" si="0"/>
        <v>3.6</v>
      </c>
      <c r="I117" s="34"/>
      <c r="J117" s="69"/>
      <c r="K117" s="69"/>
    </row>
    <row r="118" spans="2:11" x14ac:dyDescent="0.3">
      <c r="B118" s="31">
        <v>4</v>
      </c>
      <c r="C118" s="23">
        <v>3</v>
      </c>
      <c r="D118" s="23">
        <v>4</v>
      </c>
      <c r="E118" s="23">
        <v>3</v>
      </c>
      <c r="F118" s="23">
        <v>3</v>
      </c>
      <c r="G118" s="23">
        <v>3</v>
      </c>
      <c r="H118" s="39">
        <f t="shared" si="0"/>
        <v>3.2</v>
      </c>
      <c r="I118" s="34"/>
      <c r="J118" s="34"/>
    </row>
    <row r="119" spans="2:11" x14ac:dyDescent="0.3">
      <c r="B119" s="31">
        <v>5</v>
      </c>
      <c r="C119" s="23">
        <v>3</v>
      </c>
      <c r="D119" s="23">
        <v>4</v>
      </c>
      <c r="E119" s="23">
        <v>4</v>
      </c>
      <c r="F119" s="23">
        <v>3</v>
      </c>
      <c r="G119" s="23">
        <v>3</v>
      </c>
      <c r="H119" s="39">
        <f t="shared" si="0"/>
        <v>3.4</v>
      </c>
      <c r="I119" s="34"/>
      <c r="J119" s="34"/>
    </row>
    <row r="120" spans="2:11" x14ac:dyDescent="0.3">
      <c r="B120" s="31">
        <v>6</v>
      </c>
      <c r="C120" s="23">
        <v>1</v>
      </c>
      <c r="D120" s="23">
        <v>5</v>
      </c>
      <c r="E120" s="23">
        <v>2</v>
      </c>
      <c r="F120" s="23">
        <v>3</v>
      </c>
      <c r="G120" s="23">
        <v>3</v>
      </c>
      <c r="H120" s="39">
        <f t="shared" si="0"/>
        <v>2.8</v>
      </c>
      <c r="I120" s="34"/>
      <c r="J120" s="34"/>
    </row>
    <row r="121" spans="2:11" x14ac:dyDescent="0.3">
      <c r="B121" s="31">
        <v>7</v>
      </c>
      <c r="C121" s="23">
        <v>1</v>
      </c>
      <c r="D121" s="23">
        <v>5</v>
      </c>
      <c r="E121" s="23">
        <v>2</v>
      </c>
      <c r="F121" s="23">
        <v>2</v>
      </c>
      <c r="G121" s="23">
        <v>3</v>
      </c>
      <c r="H121" s="39">
        <f t="shared" si="0"/>
        <v>2.6</v>
      </c>
      <c r="I121" s="34"/>
      <c r="J121" s="34"/>
    </row>
    <row r="122" spans="2:11" x14ac:dyDescent="0.3">
      <c r="B122" s="31">
        <v>8</v>
      </c>
      <c r="C122" s="23">
        <v>1</v>
      </c>
      <c r="D122" s="23">
        <v>4</v>
      </c>
      <c r="E122" s="23">
        <v>3</v>
      </c>
      <c r="F122" s="23">
        <v>1</v>
      </c>
      <c r="G122" s="23">
        <v>3</v>
      </c>
      <c r="H122" s="39">
        <f t="shared" si="0"/>
        <v>2.4</v>
      </c>
      <c r="I122" s="34"/>
      <c r="J122" s="34"/>
    </row>
  </sheetData>
  <mergeCells count="29">
    <mergeCell ref="B1:E1"/>
    <mergeCell ref="C2:E2"/>
    <mergeCell ref="C3:E3"/>
    <mergeCell ref="C4:E4"/>
    <mergeCell ref="C5:E5"/>
    <mergeCell ref="C6:E6"/>
    <mergeCell ref="C7:E7"/>
    <mergeCell ref="B10:E10"/>
    <mergeCell ref="C11:E11"/>
    <mergeCell ref="C12:E12"/>
    <mergeCell ref="C13:E13"/>
    <mergeCell ref="C14:E14"/>
    <mergeCell ref="C15:E15"/>
    <mergeCell ref="C16:E16"/>
    <mergeCell ref="C17:E17"/>
    <mergeCell ref="C18:E18"/>
    <mergeCell ref="B20:D20"/>
    <mergeCell ref="B32:C32"/>
    <mergeCell ref="B49:E49"/>
    <mergeCell ref="C50:E50"/>
    <mergeCell ref="B96:J96"/>
    <mergeCell ref="B106:J106"/>
    <mergeCell ref="B112:H112"/>
    <mergeCell ref="J117:K117"/>
    <mergeCell ref="C51:E51"/>
    <mergeCell ref="C52:E52"/>
    <mergeCell ref="C53:E53"/>
    <mergeCell ref="C54:E54"/>
    <mergeCell ref="B70:J70"/>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L121"/>
  <sheetViews>
    <sheetView zoomScale="55" zoomScaleNormal="55" workbookViewId="0">
      <selection activeCell="B114" sqref="B114"/>
    </sheetView>
  </sheetViews>
  <sheetFormatPr defaultColWidth="8.88671875" defaultRowHeight="14.4" x14ac:dyDescent="0.3"/>
  <cols>
    <col min="1" max="1" width="8.88671875" style="13"/>
    <col min="2" max="2" width="14.21875" style="13" customWidth="1"/>
    <col min="3" max="3" width="35.21875" style="13" customWidth="1"/>
    <col min="4" max="16384" width="8.88671875" style="13"/>
  </cols>
  <sheetData>
    <row r="1" spans="2:5" ht="14.25" customHeight="1" x14ac:dyDescent="0.3">
      <c r="B1" s="62" t="s">
        <v>130</v>
      </c>
      <c r="C1" s="62"/>
      <c r="D1" s="62"/>
      <c r="E1" s="62"/>
    </row>
    <row r="2" spans="2:5" ht="14.25" customHeight="1" x14ac:dyDescent="0.3">
      <c r="B2" s="16" t="s">
        <v>131</v>
      </c>
      <c r="C2" s="68" t="s">
        <v>33</v>
      </c>
      <c r="D2" s="68"/>
      <c r="E2" s="68"/>
    </row>
    <row r="3" spans="2:5" ht="14.25" customHeight="1" x14ac:dyDescent="0.3">
      <c r="B3" s="16" t="s">
        <v>132</v>
      </c>
      <c r="C3" s="68" t="s">
        <v>590</v>
      </c>
      <c r="D3" s="68"/>
      <c r="E3" s="68"/>
    </row>
    <row r="4" spans="2:5" ht="14.25" customHeight="1" x14ac:dyDescent="0.3">
      <c r="B4" s="16" t="s">
        <v>134</v>
      </c>
      <c r="C4" s="68" t="s">
        <v>591</v>
      </c>
      <c r="D4" s="68"/>
      <c r="E4" s="68"/>
    </row>
    <row r="5" spans="2:5" ht="14.25" customHeight="1" x14ac:dyDescent="0.3">
      <c r="B5" s="16" t="s">
        <v>136</v>
      </c>
      <c r="C5" s="68" t="s">
        <v>592</v>
      </c>
      <c r="D5" s="68"/>
      <c r="E5" s="68"/>
    </row>
    <row r="6" spans="2:5" ht="27" customHeight="1" x14ac:dyDescent="0.3">
      <c r="B6" s="16" t="s">
        <v>138</v>
      </c>
      <c r="C6" s="68" t="s">
        <v>317</v>
      </c>
      <c r="D6" s="68"/>
      <c r="E6" s="68"/>
    </row>
    <row r="7" spans="2:5" ht="14.25" customHeight="1" x14ac:dyDescent="0.3">
      <c r="B7" s="16" t="s">
        <v>140</v>
      </c>
      <c r="C7" s="64" t="s">
        <v>593</v>
      </c>
      <c r="D7" s="64"/>
      <c r="E7" s="64"/>
    </row>
    <row r="9" spans="2:5" ht="15" customHeight="1" x14ac:dyDescent="0.3">
      <c r="B9" s="17" t="s">
        <v>142</v>
      </c>
      <c r="C9" s="34"/>
      <c r="D9" s="34"/>
      <c r="E9" s="34"/>
    </row>
    <row r="10" spans="2:5" ht="14.25" customHeight="1" x14ac:dyDescent="0.3">
      <c r="B10" s="60" t="s">
        <v>143</v>
      </c>
      <c r="C10" s="60"/>
      <c r="D10" s="60"/>
      <c r="E10" s="60"/>
    </row>
    <row r="11" spans="2:5" ht="54.75" customHeight="1" x14ac:dyDescent="0.3">
      <c r="B11" s="31" t="s">
        <v>594</v>
      </c>
      <c r="C11" s="63" t="s">
        <v>595</v>
      </c>
      <c r="D11" s="63"/>
      <c r="E11" s="63"/>
    </row>
    <row r="12" spans="2:5" ht="41.25" customHeight="1" x14ac:dyDescent="0.3">
      <c r="B12" s="31" t="s">
        <v>596</v>
      </c>
      <c r="C12" s="63" t="s">
        <v>597</v>
      </c>
      <c r="D12" s="63"/>
      <c r="E12" s="63"/>
    </row>
    <row r="13" spans="2:5" ht="54.75" customHeight="1" x14ac:dyDescent="0.3">
      <c r="B13" s="31" t="s">
        <v>598</v>
      </c>
      <c r="C13" s="63" t="s">
        <v>599</v>
      </c>
      <c r="D13" s="63"/>
      <c r="E13" s="63"/>
    </row>
    <row r="14" spans="2:5" ht="41.25" customHeight="1" x14ac:dyDescent="0.3">
      <c r="B14" s="31" t="s">
        <v>600</v>
      </c>
      <c r="C14" s="63" t="s">
        <v>601</v>
      </c>
      <c r="D14" s="63"/>
      <c r="E14" s="63"/>
    </row>
    <row r="15" spans="2:5" ht="41.25" customHeight="1" x14ac:dyDescent="0.3">
      <c r="B15" s="31" t="s">
        <v>602</v>
      </c>
      <c r="C15" s="63" t="s">
        <v>603</v>
      </c>
      <c r="D15" s="63"/>
      <c r="E15" s="63"/>
    </row>
    <row r="16" spans="2:5" ht="27" customHeight="1" x14ac:dyDescent="0.3">
      <c r="B16" s="31" t="s">
        <v>604</v>
      </c>
      <c r="C16" s="63" t="s">
        <v>605</v>
      </c>
      <c r="D16" s="63"/>
      <c r="E16" s="63"/>
    </row>
    <row r="17" spans="2:5" ht="41.25" customHeight="1" x14ac:dyDescent="0.3">
      <c r="B17" s="31" t="s">
        <v>606</v>
      </c>
      <c r="C17" s="63" t="s">
        <v>607</v>
      </c>
      <c r="D17" s="63"/>
      <c r="E17" s="63"/>
    </row>
    <row r="18" spans="2:5" ht="41.25" customHeight="1" x14ac:dyDescent="0.3">
      <c r="B18" s="31" t="s">
        <v>608</v>
      </c>
      <c r="C18" s="63" t="s">
        <v>609</v>
      </c>
      <c r="D18" s="63"/>
      <c r="E18" s="63"/>
    </row>
    <row r="20" spans="2:5" ht="14.25" customHeight="1" x14ac:dyDescent="0.3">
      <c r="B20" s="60" t="s">
        <v>152</v>
      </c>
      <c r="C20" s="60"/>
      <c r="D20" s="60"/>
    </row>
    <row r="21" spans="2:5" x14ac:dyDescent="0.3">
      <c r="B21" s="22" t="s">
        <v>153</v>
      </c>
      <c r="C21" s="22" t="s">
        <v>154</v>
      </c>
      <c r="D21" s="22" t="s">
        <v>155</v>
      </c>
    </row>
    <row r="22" spans="2:5" ht="28.5" customHeight="1" x14ac:dyDescent="0.3">
      <c r="B22" s="41">
        <v>1</v>
      </c>
      <c r="C22" s="3" t="s">
        <v>610</v>
      </c>
      <c r="D22" s="41" t="s">
        <v>611</v>
      </c>
    </row>
    <row r="23" spans="2:5" x14ac:dyDescent="0.3">
      <c r="B23" s="41">
        <v>2</v>
      </c>
      <c r="C23" s="3" t="s">
        <v>612</v>
      </c>
      <c r="D23" s="41" t="s">
        <v>613</v>
      </c>
    </row>
    <row r="24" spans="2:5" ht="27" customHeight="1" x14ac:dyDescent="0.3">
      <c r="B24" s="41">
        <v>3</v>
      </c>
      <c r="C24" s="3" t="s">
        <v>614</v>
      </c>
      <c r="D24" s="41" t="s">
        <v>615</v>
      </c>
    </row>
    <row r="25" spans="2:5" ht="28.5" customHeight="1" x14ac:dyDescent="0.3">
      <c r="B25" s="41">
        <v>4</v>
      </c>
      <c r="C25" s="3" t="s">
        <v>616</v>
      </c>
      <c r="D25" s="41" t="s">
        <v>617</v>
      </c>
    </row>
    <row r="26" spans="2:5" x14ac:dyDescent="0.3">
      <c r="B26" s="41">
        <v>5</v>
      </c>
      <c r="C26" s="3" t="s">
        <v>618</v>
      </c>
      <c r="D26" s="41" t="s">
        <v>619</v>
      </c>
    </row>
    <row r="27" spans="2:5" ht="28.5" customHeight="1" x14ac:dyDescent="0.3">
      <c r="B27" s="41">
        <v>6</v>
      </c>
      <c r="C27" s="3" t="s">
        <v>620</v>
      </c>
      <c r="D27" s="41" t="s">
        <v>621</v>
      </c>
    </row>
    <row r="28" spans="2:5" x14ac:dyDescent="0.3">
      <c r="B28" s="41">
        <v>7</v>
      </c>
      <c r="C28" s="3" t="s">
        <v>622</v>
      </c>
      <c r="D28" s="41" t="s">
        <v>623</v>
      </c>
    </row>
    <row r="29" spans="2:5" ht="28.5" customHeight="1" x14ac:dyDescent="0.3">
      <c r="B29" s="41">
        <v>8</v>
      </c>
      <c r="C29" s="3" t="s">
        <v>624</v>
      </c>
      <c r="D29" s="41" t="s">
        <v>625</v>
      </c>
    </row>
    <row r="30" spans="2:5" ht="28.5" customHeight="1" x14ac:dyDescent="0.3">
      <c r="B30" s="41">
        <v>9</v>
      </c>
      <c r="C30" s="3" t="s">
        <v>626</v>
      </c>
      <c r="D30" s="41" t="s">
        <v>627</v>
      </c>
    </row>
    <row r="32" spans="2:5" ht="14.25" customHeight="1" x14ac:dyDescent="0.3">
      <c r="B32" s="60" t="s">
        <v>164</v>
      </c>
      <c r="C32" s="60"/>
      <c r="D32" s="18"/>
      <c r="E32" s="18"/>
    </row>
    <row r="33" spans="2:5" x14ac:dyDescent="0.3">
      <c r="B33" s="22" t="s">
        <v>165</v>
      </c>
      <c r="C33" s="22" t="s">
        <v>166</v>
      </c>
      <c r="D33" s="19"/>
      <c r="E33" s="19"/>
    </row>
    <row r="34" spans="2:5" ht="27" customHeight="1" x14ac:dyDescent="0.3">
      <c r="B34" s="31" t="s">
        <v>628</v>
      </c>
      <c r="C34" s="3" t="s">
        <v>629</v>
      </c>
    </row>
    <row r="35" spans="2:5" ht="27" customHeight="1" x14ac:dyDescent="0.3">
      <c r="B35" s="31" t="s">
        <v>630</v>
      </c>
      <c r="C35" s="3" t="s">
        <v>631</v>
      </c>
    </row>
    <row r="36" spans="2:5" ht="27" customHeight="1" x14ac:dyDescent="0.3">
      <c r="B36" s="31" t="s">
        <v>632</v>
      </c>
      <c r="C36" s="3" t="s">
        <v>633</v>
      </c>
    </row>
    <row r="37" spans="2:5" ht="27" customHeight="1" x14ac:dyDescent="0.3">
      <c r="B37" s="31" t="s">
        <v>634</v>
      </c>
      <c r="C37" s="3" t="s">
        <v>635</v>
      </c>
    </row>
    <row r="38" spans="2:5" ht="27" customHeight="1" x14ac:dyDescent="0.3">
      <c r="B38" s="31" t="s">
        <v>636</v>
      </c>
      <c r="C38" s="3" t="s">
        <v>637</v>
      </c>
    </row>
    <row r="39" spans="2:5" ht="27" customHeight="1" x14ac:dyDescent="0.3">
      <c r="B39" s="31" t="s">
        <v>638</v>
      </c>
      <c r="C39" s="23" t="s">
        <v>639</v>
      </c>
      <c r="D39" s="34"/>
      <c r="E39" s="34"/>
    </row>
    <row r="40" spans="2:5" ht="27" customHeight="1" x14ac:dyDescent="0.3">
      <c r="B40" s="31" t="s">
        <v>640</v>
      </c>
      <c r="C40" s="3" t="s">
        <v>641</v>
      </c>
      <c r="D40" s="34"/>
      <c r="E40" s="34"/>
    </row>
    <row r="41" spans="2:5" ht="27" customHeight="1" x14ac:dyDescent="0.3">
      <c r="B41" s="31" t="s">
        <v>171</v>
      </c>
      <c r="C41" s="3" t="s">
        <v>642</v>
      </c>
      <c r="D41" s="34"/>
      <c r="E41" s="34"/>
    </row>
    <row r="42" spans="2:5" x14ac:dyDescent="0.3">
      <c r="B42" s="31" t="s">
        <v>173</v>
      </c>
      <c r="C42" s="3" t="s">
        <v>643</v>
      </c>
      <c r="D42" s="34"/>
      <c r="E42" s="34"/>
    </row>
    <row r="43" spans="2:5" ht="27" customHeight="1" x14ac:dyDescent="0.3">
      <c r="B43" s="31" t="s">
        <v>175</v>
      </c>
      <c r="C43" s="3" t="s">
        <v>644</v>
      </c>
    </row>
    <row r="44" spans="2:5" ht="27" customHeight="1" x14ac:dyDescent="0.3">
      <c r="B44" s="31" t="s">
        <v>177</v>
      </c>
      <c r="C44" s="3" t="s">
        <v>645</v>
      </c>
    </row>
    <row r="45" spans="2:5" ht="27.6" x14ac:dyDescent="0.3">
      <c r="B45" s="31" t="s">
        <v>646</v>
      </c>
      <c r="C45" s="3" t="s">
        <v>647</v>
      </c>
    </row>
    <row r="46" spans="2:5" ht="27" customHeight="1" x14ac:dyDescent="0.3">
      <c r="B46" s="31" t="s">
        <v>181</v>
      </c>
      <c r="C46" s="3" t="s">
        <v>648</v>
      </c>
    </row>
    <row r="47" spans="2:5" ht="27" customHeight="1" x14ac:dyDescent="0.3">
      <c r="B47" s="31" t="s">
        <v>183</v>
      </c>
      <c r="C47" s="3" t="s">
        <v>649</v>
      </c>
    </row>
    <row r="49" spans="2:12" ht="30.75" customHeight="1" x14ac:dyDescent="0.3">
      <c r="B49" s="17" t="s">
        <v>382</v>
      </c>
      <c r="C49" s="34"/>
      <c r="D49" s="34"/>
      <c r="E49" s="34"/>
    </row>
    <row r="50" spans="2:12" ht="14.25" customHeight="1" x14ac:dyDescent="0.3">
      <c r="B50" s="62" t="s">
        <v>383</v>
      </c>
      <c r="C50" s="62"/>
      <c r="D50" s="62"/>
      <c r="E50" s="62"/>
    </row>
    <row r="51" spans="2:12" ht="28.5" customHeight="1" x14ac:dyDescent="0.3">
      <c r="B51" s="35" t="s">
        <v>384</v>
      </c>
      <c r="C51" s="63" t="s">
        <v>650</v>
      </c>
      <c r="D51" s="63"/>
      <c r="E51" s="63"/>
    </row>
    <row r="52" spans="2:12" ht="28.5" customHeight="1" x14ac:dyDescent="0.3">
      <c r="B52" s="35" t="s">
        <v>386</v>
      </c>
      <c r="C52" s="63" t="s">
        <v>651</v>
      </c>
      <c r="D52" s="63"/>
      <c r="E52" s="63"/>
    </row>
    <row r="53" spans="2:12" ht="86.25" customHeight="1" x14ac:dyDescent="0.3">
      <c r="B53" s="35" t="s">
        <v>388</v>
      </c>
      <c r="C53" s="64" t="s">
        <v>652</v>
      </c>
      <c r="D53" s="64"/>
      <c r="E53" s="64"/>
    </row>
    <row r="54" spans="2:12" ht="28.5" customHeight="1" x14ac:dyDescent="0.3">
      <c r="B54" s="35" t="s">
        <v>390</v>
      </c>
      <c r="C54" s="68" t="s">
        <v>653</v>
      </c>
      <c r="D54" s="68"/>
      <c r="E54" s="68"/>
    </row>
    <row r="55" spans="2:12" ht="57" customHeight="1" x14ac:dyDescent="0.3">
      <c r="B55" s="35" t="s">
        <v>392</v>
      </c>
      <c r="C55" s="68" t="s">
        <v>654</v>
      </c>
      <c r="D55" s="68"/>
      <c r="E55" s="68"/>
    </row>
    <row r="57" spans="2:12" ht="46.5" customHeight="1" x14ac:dyDescent="0.3">
      <c r="B57" s="17" t="s">
        <v>195</v>
      </c>
      <c r="C57" s="34"/>
      <c r="D57" s="34"/>
      <c r="E57" s="34"/>
      <c r="F57" s="34"/>
      <c r="G57" s="34"/>
      <c r="H57" s="34"/>
      <c r="I57" s="34"/>
      <c r="J57" s="34"/>
    </row>
    <row r="58" spans="2:12" ht="27" customHeight="1" x14ac:dyDescent="0.3">
      <c r="B58" s="26" t="s">
        <v>196</v>
      </c>
      <c r="C58" s="26" t="s">
        <v>197</v>
      </c>
      <c r="D58" s="26">
        <v>2</v>
      </c>
      <c r="E58" s="26">
        <v>3</v>
      </c>
      <c r="F58" s="26">
        <v>4</v>
      </c>
      <c r="G58" s="26">
        <v>5</v>
      </c>
      <c r="H58" s="26">
        <v>6</v>
      </c>
      <c r="I58" s="26">
        <v>7</v>
      </c>
      <c r="J58" s="26">
        <v>8</v>
      </c>
      <c r="K58" s="26">
        <v>9</v>
      </c>
      <c r="L58" s="26">
        <v>10</v>
      </c>
    </row>
    <row r="59" spans="2:12" ht="54.75" customHeight="1" x14ac:dyDescent="0.3">
      <c r="B59" s="27" t="s">
        <v>130</v>
      </c>
      <c r="C59" s="27" t="s">
        <v>655</v>
      </c>
      <c r="D59" s="27" t="s">
        <v>656</v>
      </c>
      <c r="E59" s="27" t="s">
        <v>657</v>
      </c>
      <c r="F59" s="27" t="s">
        <v>658</v>
      </c>
      <c r="G59" s="27" t="s">
        <v>659</v>
      </c>
      <c r="H59" s="27" t="s">
        <v>660</v>
      </c>
      <c r="I59" s="27" t="s">
        <v>661</v>
      </c>
      <c r="J59" s="27" t="s">
        <v>662</v>
      </c>
      <c r="K59" s="27" t="s">
        <v>663</v>
      </c>
      <c r="L59" s="27" t="s">
        <v>664</v>
      </c>
    </row>
    <row r="60" spans="2:12" ht="69" customHeight="1" x14ac:dyDescent="0.3">
      <c r="B60" s="16" t="s">
        <v>208</v>
      </c>
      <c r="C60" s="28" t="s">
        <v>665</v>
      </c>
      <c r="D60" s="28" t="s">
        <v>666</v>
      </c>
      <c r="E60" s="28" t="s">
        <v>667</v>
      </c>
      <c r="F60" s="28" t="s">
        <v>668</v>
      </c>
      <c r="G60" s="28" t="s">
        <v>669</v>
      </c>
      <c r="H60" s="28" t="s">
        <v>670</v>
      </c>
      <c r="I60" s="28" t="s">
        <v>671</v>
      </c>
      <c r="J60" s="28" t="s">
        <v>672</v>
      </c>
      <c r="K60" s="28" t="s">
        <v>673</v>
      </c>
      <c r="L60" s="28" t="s">
        <v>674</v>
      </c>
    </row>
    <row r="61" spans="2:12" x14ac:dyDescent="0.3">
      <c r="B61" s="16" t="s">
        <v>167</v>
      </c>
      <c r="C61" s="49" t="s">
        <v>675</v>
      </c>
      <c r="D61" s="49" t="s">
        <v>219</v>
      </c>
      <c r="E61" s="49" t="s">
        <v>221</v>
      </c>
      <c r="F61" s="49" t="s">
        <v>224</v>
      </c>
      <c r="G61" s="49" t="s">
        <v>221</v>
      </c>
      <c r="H61" s="49" t="s">
        <v>219</v>
      </c>
      <c r="I61" s="49" t="s">
        <v>219</v>
      </c>
      <c r="J61" s="49" t="s">
        <v>224</v>
      </c>
      <c r="K61" s="49" t="s">
        <v>223</v>
      </c>
      <c r="L61" s="49" t="s">
        <v>219</v>
      </c>
    </row>
    <row r="62" spans="2:12" x14ac:dyDescent="0.3">
      <c r="B62" s="16" t="s">
        <v>169</v>
      </c>
      <c r="C62" s="49" t="s">
        <v>232</v>
      </c>
      <c r="D62" s="49" t="s">
        <v>228</v>
      </c>
      <c r="E62" s="49" t="s">
        <v>219</v>
      </c>
      <c r="F62" s="49" t="s">
        <v>229</v>
      </c>
      <c r="G62" s="49" t="s">
        <v>221</v>
      </c>
      <c r="H62" s="49" t="s">
        <v>278</v>
      </c>
      <c r="I62" s="49" t="s">
        <v>228</v>
      </c>
      <c r="J62" s="49" t="s">
        <v>229</v>
      </c>
      <c r="K62" s="49" t="s">
        <v>229</v>
      </c>
      <c r="L62" s="49" t="s">
        <v>221</v>
      </c>
    </row>
    <row r="63" spans="2:12" x14ac:dyDescent="0.3">
      <c r="B63" s="16" t="s">
        <v>231</v>
      </c>
      <c r="C63" s="49" t="s">
        <v>256</v>
      </c>
      <c r="D63" s="49" t="s">
        <v>232</v>
      </c>
      <c r="E63" s="49" t="s">
        <v>219</v>
      </c>
      <c r="F63" s="49" t="s">
        <v>256</v>
      </c>
      <c r="G63" s="49" t="s">
        <v>232</v>
      </c>
      <c r="H63" s="49" t="s">
        <v>219</v>
      </c>
      <c r="I63" s="49" t="s">
        <v>219</v>
      </c>
      <c r="J63" s="49" t="s">
        <v>221</v>
      </c>
      <c r="K63" s="49" t="s">
        <v>256</v>
      </c>
      <c r="L63" s="49" t="s">
        <v>256</v>
      </c>
    </row>
    <row r="64" spans="2:12" ht="27" customHeight="1" x14ac:dyDescent="0.3">
      <c r="B64" s="16" t="s">
        <v>177</v>
      </c>
      <c r="C64" s="49" t="s">
        <v>219</v>
      </c>
      <c r="D64" s="49" t="s">
        <v>219</v>
      </c>
      <c r="E64" s="49" t="s">
        <v>219</v>
      </c>
      <c r="F64" s="49" t="s">
        <v>221</v>
      </c>
      <c r="G64" s="49" t="s">
        <v>221</v>
      </c>
      <c r="H64" s="49" t="s">
        <v>219</v>
      </c>
      <c r="I64" s="49" t="s">
        <v>219</v>
      </c>
      <c r="J64" s="28" t="s">
        <v>676</v>
      </c>
      <c r="K64" s="49" t="s">
        <v>219</v>
      </c>
      <c r="L64" s="49" t="s">
        <v>219</v>
      </c>
    </row>
    <row r="65" spans="2:12" x14ac:dyDescent="0.3">
      <c r="B65" s="16" t="s">
        <v>179</v>
      </c>
      <c r="C65" s="49" t="s">
        <v>223</v>
      </c>
      <c r="D65" s="49" t="s">
        <v>228</v>
      </c>
      <c r="E65" s="49" t="s">
        <v>223</v>
      </c>
      <c r="F65" s="49" t="s">
        <v>223</v>
      </c>
      <c r="G65" s="49" t="s">
        <v>223</v>
      </c>
      <c r="H65" s="49" t="s">
        <v>223</v>
      </c>
      <c r="I65" s="49" t="s">
        <v>228</v>
      </c>
      <c r="J65" s="49" t="s">
        <v>223</v>
      </c>
      <c r="K65" s="49" t="s">
        <v>223</v>
      </c>
      <c r="L65" s="49" t="s">
        <v>223</v>
      </c>
    </row>
    <row r="66" spans="2:12" ht="27" customHeight="1" x14ac:dyDescent="0.3">
      <c r="B66" s="16" t="s">
        <v>238</v>
      </c>
      <c r="C66" s="49" t="s">
        <v>223</v>
      </c>
      <c r="D66" s="49" t="s">
        <v>239</v>
      </c>
      <c r="E66" s="49" t="s">
        <v>221</v>
      </c>
      <c r="F66" s="49" t="s">
        <v>223</v>
      </c>
      <c r="G66" s="49" t="s">
        <v>223</v>
      </c>
      <c r="H66" s="49" t="s">
        <v>223</v>
      </c>
      <c r="I66" s="49" t="s">
        <v>424</v>
      </c>
      <c r="J66" s="49" t="s">
        <v>223</v>
      </c>
      <c r="K66" s="49" t="s">
        <v>223</v>
      </c>
      <c r="L66" s="49" t="s">
        <v>424</v>
      </c>
    </row>
    <row r="67" spans="2:12" ht="27" customHeight="1" x14ac:dyDescent="0.3">
      <c r="B67" s="16" t="s">
        <v>181</v>
      </c>
      <c r="C67" s="49" t="s">
        <v>232</v>
      </c>
      <c r="D67" s="49" t="s">
        <v>232</v>
      </c>
      <c r="E67" s="49" t="s">
        <v>232</v>
      </c>
      <c r="F67" s="49" t="s">
        <v>232</v>
      </c>
      <c r="G67" s="49" t="s">
        <v>232</v>
      </c>
      <c r="H67" s="49" t="s">
        <v>232</v>
      </c>
      <c r="I67" s="49" t="s">
        <v>232</v>
      </c>
      <c r="J67" s="49" t="s">
        <v>677</v>
      </c>
      <c r="K67" s="49" t="s">
        <v>232</v>
      </c>
      <c r="L67" s="49" t="s">
        <v>232</v>
      </c>
    </row>
    <row r="68" spans="2:12" ht="27" customHeight="1" x14ac:dyDescent="0.3">
      <c r="B68" s="16" t="s">
        <v>183</v>
      </c>
      <c r="C68" s="49" t="s">
        <v>228</v>
      </c>
      <c r="D68" s="49" t="s">
        <v>228</v>
      </c>
      <c r="E68" s="49" t="s">
        <v>228</v>
      </c>
      <c r="F68" s="49" t="s">
        <v>228</v>
      </c>
      <c r="G68" s="49" t="s">
        <v>228</v>
      </c>
      <c r="H68" s="49" t="s">
        <v>228</v>
      </c>
      <c r="I68" s="49" t="s">
        <v>228</v>
      </c>
      <c r="J68" s="49" t="s">
        <v>228</v>
      </c>
      <c r="K68" s="49" t="s">
        <v>228</v>
      </c>
      <c r="L68" s="49" t="s">
        <v>228</v>
      </c>
    </row>
    <row r="69" spans="2:12" ht="82.5" customHeight="1" x14ac:dyDescent="0.3">
      <c r="B69" s="16" t="s">
        <v>243</v>
      </c>
      <c r="C69" s="28" t="s">
        <v>678</v>
      </c>
      <c r="D69" s="28" t="s">
        <v>679</v>
      </c>
      <c r="E69" s="28" t="s">
        <v>680</v>
      </c>
      <c r="F69" s="28" t="s">
        <v>681</v>
      </c>
      <c r="G69" s="28" t="s">
        <v>682</v>
      </c>
      <c r="H69" s="28" t="s">
        <v>683</v>
      </c>
      <c r="I69" s="28" t="s">
        <v>684</v>
      </c>
      <c r="J69" s="28" t="s">
        <v>685</v>
      </c>
      <c r="K69" s="28" t="s">
        <v>686</v>
      </c>
      <c r="L69" s="28" t="s">
        <v>687</v>
      </c>
    </row>
    <row r="70" spans="2:12" x14ac:dyDescent="0.3">
      <c r="B70" s="16"/>
      <c r="C70" s="9"/>
      <c r="D70" s="9"/>
      <c r="E70" s="9"/>
      <c r="F70" s="9"/>
      <c r="G70" s="9"/>
      <c r="H70" s="9"/>
      <c r="I70" s="9"/>
      <c r="J70" s="9"/>
      <c r="K70" s="9"/>
      <c r="L70" s="9"/>
    </row>
    <row r="71" spans="2:12" ht="14.25" customHeight="1" x14ac:dyDescent="0.3">
      <c r="B71" s="60" t="s">
        <v>254</v>
      </c>
      <c r="C71" s="60"/>
      <c r="D71" s="60"/>
      <c r="E71" s="60"/>
      <c r="F71" s="60"/>
      <c r="G71" s="60"/>
      <c r="H71" s="60"/>
      <c r="I71" s="60"/>
      <c r="J71" s="60"/>
    </row>
    <row r="72" spans="2:12" ht="41.25" customHeight="1" x14ac:dyDescent="0.3">
      <c r="B72" s="22" t="s">
        <v>255</v>
      </c>
      <c r="C72" s="22" t="s">
        <v>167</v>
      </c>
      <c r="D72" s="22" t="s">
        <v>169</v>
      </c>
      <c r="E72" s="22" t="s">
        <v>171</v>
      </c>
      <c r="F72" s="22" t="s">
        <v>177</v>
      </c>
      <c r="G72" s="22" t="s">
        <v>179</v>
      </c>
      <c r="H72" s="22" t="s">
        <v>175</v>
      </c>
      <c r="I72" s="22" t="s">
        <v>181</v>
      </c>
      <c r="J72" s="22" t="s">
        <v>183</v>
      </c>
    </row>
    <row r="73" spans="2:12" x14ac:dyDescent="0.3">
      <c r="B73" s="50">
        <v>1</v>
      </c>
      <c r="C73" s="23" t="s">
        <v>256</v>
      </c>
      <c r="D73" s="23" t="s">
        <v>232</v>
      </c>
      <c r="E73" s="23" t="s">
        <v>256</v>
      </c>
      <c r="F73" s="23" t="s">
        <v>219</v>
      </c>
      <c r="G73" s="23" t="s">
        <v>223</v>
      </c>
      <c r="H73" s="23" t="s">
        <v>223</v>
      </c>
      <c r="I73" s="23" t="s">
        <v>232</v>
      </c>
      <c r="J73" s="41" t="s">
        <v>228</v>
      </c>
    </row>
    <row r="74" spans="2:12" x14ac:dyDescent="0.3">
      <c r="B74" s="50">
        <v>2</v>
      </c>
      <c r="C74" s="23" t="s">
        <v>219</v>
      </c>
      <c r="D74" s="23" t="s">
        <v>228</v>
      </c>
      <c r="E74" s="23" t="s">
        <v>232</v>
      </c>
      <c r="F74" s="23" t="s">
        <v>219</v>
      </c>
      <c r="G74" s="23" t="s">
        <v>228</v>
      </c>
      <c r="H74" s="23" t="s">
        <v>239</v>
      </c>
      <c r="I74" s="23" t="s">
        <v>232</v>
      </c>
      <c r="J74" s="41" t="s">
        <v>228</v>
      </c>
    </row>
    <row r="75" spans="2:12" x14ac:dyDescent="0.3">
      <c r="B75" s="50">
        <v>3</v>
      </c>
      <c r="C75" s="23" t="s">
        <v>221</v>
      </c>
      <c r="D75" s="23" t="s">
        <v>233</v>
      </c>
      <c r="E75" s="23" t="s">
        <v>219</v>
      </c>
      <c r="F75" s="23" t="s">
        <v>219</v>
      </c>
      <c r="G75" s="23" t="s">
        <v>223</v>
      </c>
      <c r="H75" s="23" t="s">
        <v>223</v>
      </c>
      <c r="I75" s="23" t="s">
        <v>232</v>
      </c>
      <c r="J75" s="41" t="s">
        <v>228</v>
      </c>
    </row>
    <row r="76" spans="2:12" x14ac:dyDescent="0.3">
      <c r="B76" s="50">
        <v>4</v>
      </c>
      <c r="C76" s="23" t="s">
        <v>224</v>
      </c>
      <c r="D76" s="23" t="s">
        <v>229</v>
      </c>
      <c r="E76" s="23" t="s">
        <v>256</v>
      </c>
      <c r="F76" s="23" t="s">
        <v>219</v>
      </c>
      <c r="G76" s="23" t="s">
        <v>223</v>
      </c>
      <c r="H76" s="23" t="s">
        <v>223</v>
      </c>
      <c r="I76" s="23" t="s">
        <v>232</v>
      </c>
      <c r="J76" s="41" t="s">
        <v>228</v>
      </c>
    </row>
    <row r="77" spans="2:12" x14ac:dyDescent="0.3">
      <c r="B77" s="50">
        <v>5</v>
      </c>
      <c r="C77" s="23" t="s">
        <v>221</v>
      </c>
      <c r="D77" s="23" t="s">
        <v>221</v>
      </c>
      <c r="E77" s="23" t="s">
        <v>232</v>
      </c>
      <c r="F77" s="23" t="s">
        <v>219</v>
      </c>
      <c r="G77" s="23" t="s">
        <v>223</v>
      </c>
      <c r="H77" s="23" t="s">
        <v>223</v>
      </c>
      <c r="I77" s="23" t="s">
        <v>232</v>
      </c>
      <c r="J77" s="41" t="s">
        <v>228</v>
      </c>
    </row>
    <row r="78" spans="2:12" x14ac:dyDescent="0.3">
      <c r="B78" s="50">
        <v>6</v>
      </c>
      <c r="C78" s="23" t="s">
        <v>219</v>
      </c>
      <c r="D78" s="23" t="s">
        <v>278</v>
      </c>
      <c r="E78" s="23" t="s">
        <v>219</v>
      </c>
      <c r="F78" s="23" t="s">
        <v>219</v>
      </c>
      <c r="G78" s="23" t="s">
        <v>223</v>
      </c>
      <c r="H78" s="23" t="s">
        <v>223</v>
      </c>
      <c r="I78" s="23" t="s">
        <v>232</v>
      </c>
      <c r="J78" s="41" t="s">
        <v>228</v>
      </c>
    </row>
    <row r="79" spans="2:12" x14ac:dyDescent="0.3">
      <c r="B79" s="50">
        <v>7</v>
      </c>
      <c r="C79" s="23" t="s">
        <v>219</v>
      </c>
      <c r="D79" s="23" t="s">
        <v>228</v>
      </c>
      <c r="E79" s="23" t="s">
        <v>219</v>
      </c>
      <c r="F79" s="23" t="s">
        <v>219</v>
      </c>
      <c r="G79" s="23" t="s">
        <v>228</v>
      </c>
      <c r="H79" s="23" t="s">
        <v>424</v>
      </c>
      <c r="I79" s="23" t="s">
        <v>232</v>
      </c>
      <c r="J79" s="41" t="s">
        <v>228</v>
      </c>
    </row>
    <row r="80" spans="2:12" ht="27.6" x14ac:dyDescent="0.3">
      <c r="B80" s="50">
        <v>8</v>
      </c>
      <c r="C80" s="23" t="s">
        <v>224</v>
      </c>
      <c r="D80" s="23" t="s">
        <v>229</v>
      </c>
      <c r="E80" s="23" t="s">
        <v>688</v>
      </c>
      <c r="F80" s="23" t="s">
        <v>219</v>
      </c>
      <c r="G80" s="23" t="s">
        <v>223</v>
      </c>
      <c r="H80" s="23" t="s">
        <v>223</v>
      </c>
      <c r="I80" s="23" t="s">
        <v>256</v>
      </c>
      <c r="J80" s="41" t="s">
        <v>228</v>
      </c>
    </row>
    <row r="81" spans="2:10" x14ac:dyDescent="0.3">
      <c r="B81" s="50">
        <v>9</v>
      </c>
      <c r="C81" s="23" t="s">
        <v>223</v>
      </c>
      <c r="D81" s="23" t="s">
        <v>229</v>
      </c>
      <c r="E81" s="23" t="s">
        <v>256</v>
      </c>
      <c r="F81" s="23" t="s">
        <v>219</v>
      </c>
      <c r="G81" s="23" t="s">
        <v>223</v>
      </c>
      <c r="H81" s="23" t="s">
        <v>223</v>
      </c>
      <c r="I81" s="23" t="s">
        <v>232</v>
      </c>
      <c r="J81" s="23" t="s">
        <v>228</v>
      </c>
    </row>
    <row r="82" spans="2:10" x14ac:dyDescent="0.3">
      <c r="B82" s="50">
        <v>10</v>
      </c>
      <c r="C82" s="23" t="s">
        <v>219</v>
      </c>
      <c r="D82" s="23" t="s">
        <v>221</v>
      </c>
      <c r="E82" s="23" t="s">
        <v>256</v>
      </c>
      <c r="F82" s="23" t="s">
        <v>219</v>
      </c>
      <c r="G82" s="23" t="s">
        <v>223</v>
      </c>
      <c r="H82" s="23" t="s">
        <v>424</v>
      </c>
      <c r="I82" s="23" t="s">
        <v>232</v>
      </c>
      <c r="J82" s="23" t="s">
        <v>228</v>
      </c>
    </row>
    <row r="84" spans="2:10" ht="30.75" customHeight="1" x14ac:dyDescent="0.3">
      <c r="B84" s="17" t="s">
        <v>264</v>
      </c>
      <c r="C84" s="34"/>
      <c r="D84" s="34"/>
      <c r="E84" s="34"/>
      <c r="F84" s="34"/>
      <c r="G84" s="34"/>
      <c r="H84" s="34"/>
      <c r="I84" s="34"/>
    </row>
    <row r="85" spans="2:10" ht="27" customHeight="1" x14ac:dyDescent="0.3">
      <c r="B85" s="26" t="s">
        <v>196</v>
      </c>
      <c r="C85" s="26" t="s">
        <v>689</v>
      </c>
      <c r="D85" s="26" t="s">
        <v>690</v>
      </c>
      <c r="E85" s="26" t="s">
        <v>691</v>
      </c>
      <c r="F85" s="26" t="s">
        <v>692</v>
      </c>
      <c r="G85" s="32"/>
      <c r="H85" s="32"/>
      <c r="I85" s="32"/>
    </row>
    <row r="86" spans="2:10" ht="82.5" customHeight="1" x14ac:dyDescent="0.3">
      <c r="B86" s="27" t="s">
        <v>130</v>
      </c>
      <c r="C86" s="27" t="s">
        <v>693</v>
      </c>
      <c r="D86" s="27" t="s">
        <v>694</v>
      </c>
      <c r="E86" s="27" t="s">
        <v>695</v>
      </c>
      <c r="F86" s="27" t="s">
        <v>696</v>
      </c>
      <c r="G86" s="18"/>
      <c r="H86" s="18"/>
      <c r="I86" s="18"/>
    </row>
    <row r="87" spans="2:10" ht="230.25" customHeight="1" x14ac:dyDescent="0.3">
      <c r="B87" s="16" t="s">
        <v>208</v>
      </c>
      <c r="C87" s="35" t="s">
        <v>697</v>
      </c>
      <c r="D87" s="35" t="s">
        <v>698</v>
      </c>
      <c r="E87" s="35" t="s">
        <v>699</v>
      </c>
      <c r="F87" s="35" t="s">
        <v>700</v>
      </c>
      <c r="G87" s="34"/>
      <c r="H87" s="34"/>
      <c r="I87" s="34"/>
    </row>
    <row r="88" spans="2:10" x14ac:dyDescent="0.3">
      <c r="B88" s="16" t="s">
        <v>167</v>
      </c>
      <c r="C88" s="35" t="s">
        <v>223</v>
      </c>
      <c r="D88" s="25" t="s">
        <v>221</v>
      </c>
      <c r="E88" s="35" t="s">
        <v>224</v>
      </c>
      <c r="F88" s="35" t="s">
        <v>221</v>
      </c>
      <c r="G88" s="34"/>
      <c r="H88" s="34"/>
      <c r="I88" s="14"/>
    </row>
    <row r="89" spans="2:10" x14ac:dyDescent="0.3">
      <c r="B89" s="16" t="s">
        <v>169</v>
      </c>
      <c r="C89" s="35" t="s">
        <v>229</v>
      </c>
      <c r="D89" s="36" t="s">
        <v>221</v>
      </c>
      <c r="E89" s="35" t="s">
        <v>229</v>
      </c>
      <c r="F89" s="35" t="s">
        <v>221</v>
      </c>
      <c r="G89" s="14"/>
      <c r="H89" s="34"/>
      <c r="I89" s="34"/>
    </row>
    <row r="90" spans="2:10" x14ac:dyDescent="0.3">
      <c r="B90" s="16" t="s">
        <v>231</v>
      </c>
      <c r="C90" s="25" t="s">
        <v>573</v>
      </c>
      <c r="D90" s="35" t="s">
        <v>219</v>
      </c>
      <c r="E90" s="35" t="s">
        <v>233</v>
      </c>
      <c r="F90" s="35" t="s">
        <v>233</v>
      </c>
      <c r="G90" s="34"/>
      <c r="H90" s="34"/>
      <c r="I90" s="34"/>
    </row>
    <row r="91" spans="2:10" ht="42.75" customHeight="1" x14ac:dyDescent="0.3">
      <c r="B91" s="16" t="s">
        <v>177</v>
      </c>
      <c r="C91" s="25" t="s">
        <v>233</v>
      </c>
      <c r="D91" s="35" t="s">
        <v>233</v>
      </c>
      <c r="E91" s="35" t="s">
        <v>279</v>
      </c>
      <c r="F91" s="35" t="s">
        <v>233</v>
      </c>
      <c r="G91" s="34"/>
      <c r="H91" s="14"/>
      <c r="I91" s="34"/>
    </row>
    <row r="92" spans="2:10" ht="28.5" customHeight="1" x14ac:dyDescent="0.3">
      <c r="B92" s="16" t="s">
        <v>179</v>
      </c>
      <c r="C92" s="25" t="s">
        <v>223</v>
      </c>
      <c r="D92" s="35" t="s">
        <v>449</v>
      </c>
      <c r="E92" s="35" t="s">
        <v>223</v>
      </c>
      <c r="F92" s="35" t="s">
        <v>223</v>
      </c>
      <c r="G92" s="14"/>
      <c r="H92" s="34"/>
      <c r="I92" s="34"/>
    </row>
    <row r="93" spans="2:10" ht="28.5" customHeight="1" x14ac:dyDescent="0.3">
      <c r="B93" s="16" t="s">
        <v>238</v>
      </c>
      <c r="C93" s="25" t="s">
        <v>239</v>
      </c>
      <c r="D93" s="35" t="s">
        <v>239</v>
      </c>
      <c r="E93" s="35" t="s">
        <v>239</v>
      </c>
      <c r="F93" s="35" t="s">
        <v>449</v>
      </c>
      <c r="G93" s="14"/>
      <c r="H93" s="14"/>
      <c r="I93" s="34"/>
    </row>
    <row r="94" spans="2:10" x14ac:dyDescent="0.3">
      <c r="B94" s="16" t="s">
        <v>181</v>
      </c>
      <c r="C94" s="25" t="s">
        <v>224</v>
      </c>
      <c r="D94" s="35" t="s">
        <v>232</v>
      </c>
      <c r="E94" s="35" t="s">
        <v>221</v>
      </c>
      <c r="F94" s="35" t="s">
        <v>232</v>
      </c>
      <c r="G94" s="34"/>
      <c r="H94" s="34"/>
      <c r="I94" s="34"/>
    </row>
    <row r="95" spans="2:10" ht="27" customHeight="1" x14ac:dyDescent="0.3">
      <c r="B95" s="16" t="s">
        <v>183</v>
      </c>
      <c r="C95" s="25" t="s">
        <v>221</v>
      </c>
      <c r="D95" s="35" t="s">
        <v>232</v>
      </c>
      <c r="E95" s="35" t="s">
        <v>232</v>
      </c>
      <c r="F95" s="35" t="s">
        <v>232</v>
      </c>
      <c r="G95" s="14"/>
      <c r="H95" s="34"/>
      <c r="I95" s="14"/>
    </row>
    <row r="96" spans="2:10" ht="186.75" customHeight="1" x14ac:dyDescent="0.3">
      <c r="B96" s="16" t="s">
        <v>243</v>
      </c>
      <c r="C96" s="35" t="s">
        <v>701</v>
      </c>
      <c r="D96" s="35" t="s">
        <v>702</v>
      </c>
      <c r="E96" s="35" t="s">
        <v>703</v>
      </c>
      <c r="F96" s="35" t="s">
        <v>704</v>
      </c>
      <c r="G96" s="14"/>
      <c r="H96" s="14"/>
      <c r="I96" s="34"/>
    </row>
    <row r="98" spans="2:11" ht="14.25" customHeight="1" x14ac:dyDescent="0.3">
      <c r="B98" s="60" t="s">
        <v>581</v>
      </c>
      <c r="C98" s="60"/>
      <c r="D98" s="60"/>
      <c r="E98" s="60"/>
      <c r="F98" s="60"/>
      <c r="G98" s="60"/>
      <c r="H98" s="60"/>
      <c r="I98" s="60"/>
      <c r="J98" s="60"/>
    </row>
    <row r="99" spans="2:11" ht="41.25" customHeight="1" x14ac:dyDescent="0.3">
      <c r="B99" s="22" t="s">
        <v>255</v>
      </c>
      <c r="C99" s="22" t="s">
        <v>167</v>
      </c>
      <c r="D99" s="22" t="s">
        <v>169</v>
      </c>
      <c r="E99" s="22" t="s">
        <v>171</v>
      </c>
      <c r="F99" s="22" t="s">
        <v>177</v>
      </c>
      <c r="G99" s="22" t="s">
        <v>179</v>
      </c>
      <c r="H99" s="22" t="s">
        <v>175</v>
      </c>
      <c r="I99" s="22" t="s">
        <v>181</v>
      </c>
      <c r="J99" s="22" t="s">
        <v>183</v>
      </c>
    </row>
    <row r="100" spans="2:11" ht="42.75" customHeight="1" x14ac:dyDescent="0.3">
      <c r="B100" s="44">
        <v>11</v>
      </c>
      <c r="C100" s="44" t="s">
        <v>223</v>
      </c>
      <c r="D100" s="44" t="s">
        <v>229</v>
      </c>
      <c r="E100" s="44" t="s">
        <v>582</v>
      </c>
      <c r="F100" s="37" t="s">
        <v>233</v>
      </c>
      <c r="G100" s="37" t="s">
        <v>223</v>
      </c>
      <c r="H100" s="37" t="s">
        <v>239</v>
      </c>
      <c r="I100" s="37" t="s">
        <v>224</v>
      </c>
      <c r="J100" s="37" t="s">
        <v>221</v>
      </c>
    </row>
    <row r="101" spans="2:11" x14ac:dyDescent="0.3">
      <c r="B101" s="44">
        <v>12</v>
      </c>
      <c r="C101" s="44" t="s">
        <v>221</v>
      </c>
      <c r="D101" s="44" t="s">
        <v>221</v>
      </c>
      <c r="E101" s="44" t="s">
        <v>219</v>
      </c>
      <c r="F101" s="37" t="s">
        <v>233</v>
      </c>
      <c r="G101" s="37" t="s">
        <v>584</v>
      </c>
      <c r="H101" s="37" t="s">
        <v>239</v>
      </c>
      <c r="I101" s="37" t="s">
        <v>232</v>
      </c>
      <c r="J101" s="37" t="s">
        <v>232</v>
      </c>
    </row>
    <row r="102" spans="2:11" x14ac:dyDescent="0.3">
      <c r="B102" s="44">
        <v>13</v>
      </c>
      <c r="C102" s="44" t="s">
        <v>224</v>
      </c>
      <c r="D102" s="44" t="s">
        <v>229</v>
      </c>
      <c r="E102" s="44" t="s">
        <v>233</v>
      </c>
      <c r="F102" s="37" t="s">
        <v>583</v>
      </c>
      <c r="G102" s="37" t="s">
        <v>223</v>
      </c>
      <c r="H102" s="37" t="s">
        <v>239</v>
      </c>
      <c r="I102" s="37" t="s">
        <v>221</v>
      </c>
      <c r="J102" s="37" t="s">
        <v>232</v>
      </c>
    </row>
    <row r="103" spans="2:11" x14ac:dyDescent="0.3">
      <c r="B103" s="44">
        <v>14</v>
      </c>
      <c r="C103" s="44" t="s">
        <v>221</v>
      </c>
      <c r="D103" s="44" t="s">
        <v>221</v>
      </c>
      <c r="E103" s="44" t="s">
        <v>233</v>
      </c>
      <c r="F103" s="37" t="s">
        <v>233</v>
      </c>
      <c r="G103" s="37" t="s">
        <v>223</v>
      </c>
      <c r="H103" s="37" t="s">
        <v>584</v>
      </c>
      <c r="I103" s="37" t="s">
        <v>232</v>
      </c>
      <c r="J103" s="37" t="s">
        <v>232</v>
      </c>
    </row>
    <row r="105" spans="2:11" ht="14.25" customHeight="1" x14ac:dyDescent="0.3">
      <c r="B105" s="60" t="s">
        <v>288</v>
      </c>
      <c r="C105" s="60"/>
      <c r="D105" s="60"/>
      <c r="E105" s="60"/>
      <c r="F105" s="60"/>
      <c r="G105" s="60"/>
      <c r="H105" s="60"/>
      <c r="I105" s="60"/>
      <c r="J105" s="60"/>
    </row>
    <row r="106" spans="2:11" ht="41.25" customHeight="1" x14ac:dyDescent="0.3">
      <c r="B106" s="22" t="s">
        <v>289</v>
      </c>
      <c r="C106" s="22" t="s">
        <v>167</v>
      </c>
      <c r="D106" s="22" t="s">
        <v>169</v>
      </c>
      <c r="E106" s="22" t="s">
        <v>171</v>
      </c>
      <c r="F106" s="22" t="s">
        <v>177</v>
      </c>
      <c r="G106" s="22" t="s">
        <v>179</v>
      </c>
      <c r="H106" s="22" t="s">
        <v>175</v>
      </c>
      <c r="I106" s="22" t="s">
        <v>181</v>
      </c>
      <c r="J106" s="22" t="s">
        <v>183</v>
      </c>
    </row>
    <row r="107" spans="2:11" x14ac:dyDescent="0.3">
      <c r="B107" s="31">
        <v>1</v>
      </c>
      <c r="C107" s="23" t="s">
        <v>705</v>
      </c>
      <c r="D107" s="23" t="s">
        <v>706</v>
      </c>
      <c r="E107" s="23" t="s">
        <v>223</v>
      </c>
      <c r="F107" s="23" t="s">
        <v>221</v>
      </c>
      <c r="G107" s="23" t="s">
        <v>223</v>
      </c>
      <c r="H107" s="23" t="s">
        <v>221</v>
      </c>
      <c r="I107" s="23" t="s">
        <v>707</v>
      </c>
      <c r="J107" s="44" t="s">
        <v>219</v>
      </c>
    </row>
    <row r="108" spans="2:11" ht="27" customHeight="1" x14ac:dyDescent="0.3">
      <c r="B108" s="31">
        <v>2</v>
      </c>
      <c r="C108" s="23" t="s">
        <v>465</v>
      </c>
      <c r="D108" s="23" t="s">
        <v>708</v>
      </c>
      <c r="E108" s="23" t="s">
        <v>223</v>
      </c>
      <c r="F108" s="23" t="s">
        <v>223</v>
      </c>
      <c r="G108" s="23" t="s">
        <v>223</v>
      </c>
      <c r="H108" s="23" t="s">
        <v>221</v>
      </c>
      <c r="I108" s="23" t="s">
        <v>709</v>
      </c>
      <c r="J108" s="44" t="s">
        <v>219</v>
      </c>
    </row>
    <row r="109" spans="2:11" ht="41.25" customHeight="1" x14ac:dyDescent="0.3">
      <c r="B109" s="31">
        <v>3</v>
      </c>
      <c r="C109" s="23" t="s">
        <v>219</v>
      </c>
      <c r="D109" s="23" t="s">
        <v>706</v>
      </c>
      <c r="E109" s="23" t="s">
        <v>710</v>
      </c>
      <c r="F109" s="23" t="s">
        <v>470</v>
      </c>
      <c r="G109" s="23" t="s">
        <v>223</v>
      </c>
      <c r="H109" s="23" t="s">
        <v>465</v>
      </c>
      <c r="I109" s="23" t="s">
        <v>711</v>
      </c>
      <c r="J109" s="35" t="s">
        <v>219</v>
      </c>
    </row>
    <row r="110" spans="2:11" x14ac:dyDescent="0.3">
      <c r="B110" s="34"/>
      <c r="C110" s="34"/>
      <c r="D110" s="34"/>
      <c r="E110" s="34"/>
      <c r="F110" s="34"/>
      <c r="G110" s="34"/>
      <c r="H110" s="34"/>
      <c r="I110" s="34"/>
      <c r="J110" s="34"/>
    </row>
    <row r="111" spans="2:11" ht="14.25" customHeight="1" x14ac:dyDescent="0.3">
      <c r="B111" s="61" t="s">
        <v>306</v>
      </c>
      <c r="C111" s="61"/>
      <c r="D111" s="61"/>
      <c r="E111" s="61"/>
      <c r="F111" s="61"/>
      <c r="G111" s="61"/>
      <c r="H111" s="61"/>
      <c r="I111" s="34"/>
      <c r="J111" s="34"/>
    </row>
    <row r="112" spans="2:11" ht="41.25" customHeight="1" x14ac:dyDescent="0.3">
      <c r="B112" s="27" t="s">
        <v>255</v>
      </c>
      <c r="C112" s="27" t="s">
        <v>167</v>
      </c>
      <c r="D112" s="27" t="s">
        <v>307</v>
      </c>
      <c r="E112" s="27" t="s">
        <v>308</v>
      </c>
      <c r="F112" s="27" t="s">
        <v>309</v>
      </c>
      <c r="G112" s="27" t="s">
        <v>181</v>
      </c>
      <c r="H112" s="27" t="s">
        <v>310</v>
      </c>
      <c r="I112" s="34"/>
      <c r="J112" s="46"/>
      <c r="K112" s="46"/>
    </row>
    <row r="113" spans="2:11" ht="27" customHeight="1" x14ac:dyDescent="0.3">
      <c r="B113" s="22" t="s">
        <v>255</v>
      </c>
      <c r="C113" s="22" t="s">
        <v>167</v>
      </c>
      <c r="D113" s="22" t="s">
        <v>311</v>
      </c>
      <c r="E113" s="22" t="s">
        <v>308</v>
      </c>
      <c r="F113" s="22" t="s">
        <v>312</v>
      </c>
      <c r="G113" s="22" t="s">
        <v>181</v>
      </c>
      <c r="H113" s="22" t="s">
        <v>313</v>
      </c>
      <c r="I113" s="34"/>
      <c r="J113" s="46"/>
      <c r="K113" s="46"/>
    </row>
    <row r="114" spans="2:11" x14ac:dyDescent="0.3">
      <c r="B114" s="31">
        <v>1</v>
      </c>
      <c r="C114" s="23">
        <v>5</v>
      </c>
      <c r="D114" s="23">
        <v>4</v>
      </c>
      <c r="E114" s="23">
        <v>5</v>
      </c>
      <c r="F114" s="23">
        <v>4</v>
      </c>
      <c r="G114" s="23">
        <v>3</v>
      </c>
      <c r="H114" s="39">
        <f t="shared" ref="H114:H121" si="0">AVERAGE(C114:G114)</f>
        <v>4.2</v>
      </c>
      <c r="I114" s="34"/>
      <c r="J114" s="46"/>
      <c r="K114" s="46"/>
    </row>
    <row r="115" spans="2:11" x14ac:dyDescent="0.3">
      <c r="B115" s="31">
        <v>2</v>
      </c>
      <c r="C115" s="23">
        <v>4</v>
      </c>
      <c r="D115" s="23">
        <v>4</v>
      </c>
      <c r="E115" s="23">
        <v>5</v>
      </c>
      <c r="F115" s="23">
        <v>3</v>
      </c>
      <c r="G115" s="23">
        <v>3</v>
      </c>
      <c r="H115" s="39">
        <f t="shared" si="0"/>
        <v>3.8</v>
      </c>
      <c r="I115" s="34"/>
      <c r="J115" s="46"/>
      <c r="K115" s="46"/>
    </row>
    <row r="116" spans="2:11" x14ac:dyDescent="0.3">
      <c r="B116" s="31">
        <v>3</v>
      </c>
      <c r="C116" s="23">
        <v>4</v>
      </c>
      <c r="D116" s="23">
        <v>4</v>
      </c>
      <c r="E116" s="23">
        <v>4</v>
      </c>
      <c r="F116" s="23">
        <v>4</v>
      </c>
      <c r="G116" s="23">
        <v>3</v>
      </c>
      <c r="H116" s="39">
        <f t="shared" si="0"/>
        <v>3.8</v>
      </c>
      <c r="I116" s="34"/>
      <c r="J116" s="46"/>
      <c r="K116" s="46"/>
    </row>
    <row r="117" spans="2:11" x14ac:dyDescent="0.3">
      <c r="B117" s="31">
        <v>4</v>
      </c>
      <c r="C117" s="23">
        <v>3</v>
      </c>
      <c r="D117" s="23">
        <v>4</v>
      </c>
      <c r="E117" s="23">
        <v>4</v>
      </c>
      <c r="F117" s="23">
        <v>3</v>
      </c>
      <c r="G117" s="23">
        <v>3</v>
      </c>
      <c r="H117" s="39">
        <f t="shared" si="0"/>
        <v>3.4</v>
      </c>
      <c r="I117" s="34"/>
      <c r="J117" s="34"/>
    </row>
    <row r="118" spans="2:11" x14ac:dyDescent="0.3">
      <c r="B118" s="31">
        <v>5</v>
      </c>
      <c r="C118" s="23">
        <v>3</v>
      </c>
      <c r="D118" s="23">
        <v>4</v>
      </c>
      <c r="E118" s="23">
        <v>4</v>
      </c>
      <c r="F118" s="23">
        <v>4</v>
      </c>
      <c r="G118" s="23">
        <v>3</v>
      </c>
      <c r="H118" s="39">
        <f t="shared" si="0"/>
        <v>3.6</v>
      </c>
      <c r="I118" s="34"/>
      <c r="J118" s="34"/>
    </row>
    <row r="119" spans="2:11" x14ac:dyDescent="0.3">
      <c r="B119" s="31">
        <v>6</v>
      </c>
      <c r="C119" s="23">
        <v>3</v>
      </c>
      <c r="D119" s="23">
        <v>4</v>
      </c>
      <c r="E119" s="23">
        <v>3</v>
      </c>
      <c r="F119" s="23">
        <v>3</v>
      </c>
      <c r="G119" s="23">
        <v>3</v>
      </c>
      <c r="H119" s="39">
        <f t="shared" si="0"/>
        <v>3.2</v>
      </c>
      <c r="I119" s="34"/>
      <c r="J119" s="34"/>
    </row>
    <row r="120" spans="2:11" x14ac:dyDescent="0.3">
      <c r="B120" s="31">
        <v>7</v>
      </c>
      <c r="C120" s="23">
        <v>2</v>
      </c>
      <c r="D120" s="23">
        <v>4</v>
      </c>
      <c r="E120" s="23">
        <v>3</v>
      </c>
      <c r="F120" s="23">
        <v>2</v>
      </c>
      <c r="G120" s="23">
        <v>3</v>
      </c>
      <c r="H120" s="39">
        <f t="shared" si="0"/>
        <v>2.8</v>
      </c>
      <c r="I120" s="34"/>
      <c r="J120" s="34"/>
    </row>
    <row r="121" spans="2:11" x14ac:dyDescent="0.3">
      <c r="B121" s="31">
        <v>8</v>
      </c>
      <c r="C121" s="23">
        <v>2</v>
      </c>
      <c r="D121" s="23">
        <v>4</v>
      </c>
      <c r="E121" s="23">
        <v>3</v>
      </c>
      <c r="F121" s="23">
        <v>1</v>
      </c>
      <c r="G121" s="23">
        <v>3</v>
      </c>
      <c r="H121" s="39">
        <f t="shared" si="0"/>
        <v>2.6</v>
      </c>
      <c r="I121" s="34"/>
      <c r="J121" s="34"/>
    </row>
  </sheetData>
  <mergeCells count="28">
    <mergeCell ref="B1:E1"/>
    <mergeCell ref="C2:E2"/>
    <mergeCell ref="C3:E3"/>
    <mergeCell ref="C4:E4"/>
    <mergeCell ref="C5:E5"/>
    <mergeCell ref="C6:E6"/>
    <mergeCell ref="C7:E7"/>
    <mergeCell ref="B10:E10"/>
    <mergeCell ref="C11:E11"/>
    <mergeCell ref="C12:E12"/>
    <mergeCell ref="C13:E13"/>
    <mergeCell ref="C14:E14"/>
    <mergeCell ref="C15:E15"/>
    <mergeCell ref="C16:E16"/>
    <mergeCell ref="C17:E17"/>
    <mergeCell ref="C18:E18"/>
    <mergeCell ref="B20:D20"/>
    <mergeCell ref="B32:C32"/>
    <mergeCell ref="B50:E50"/>
    <mergeCell ref="C51:E51"/>
    <mergeCell ref="B98:J98"/>
    <mergeCell ref="B105:J105"/>
    <mergeCell ref="B111:H111"/>
    <mergeCell ref="C52:E52"/>
    <mergeCell ref="C53:E53"/>
    <mergeCell ref="C54:E54"/>
    <mergeCell ref="C55:E55"/>
    <mergeCell ref="B71:J71"/>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K118"/>
  <sheetViews>
    <sheetView zoomScale="70" zoomScaleNormal="70" workbookViewId="0">
      <selection activeCell="B101" sqref="B101"/>
    </sheetView>
  </sheetViews>
  <sheetFormatPr defaultColWidth="8.88671875" defaultRowHeight="14.4" x14ac:dyDescent="0.3"/>
  <cols>
    <col min="1" max="1" width="8.88671875" style="13"/>
    <col min="2" max="2" width="21.77734375" style="13" customWidth="1"/>
    <col min="3" max="6" width="8.88671875" style="13"/>
    <col min="7" max="7" width="8.77734375" style="13" customWidth="1"/>
    <col min="8" max="16384" width="8.88671875" style="13"/>
  </cols>
  <sheetData>
    <row r="1" spans="2:5" ht="14.25" customHeight="1" x14ac:dyDescent="0.3">
      <c r="B1" s="62" t="s">
        <v>130</v>
      </c>
      <c r="C1" s="62"/>
      <c r="D1" s="62"/>
      <c r="E1" s="62"/>
    </row>
    <row r="2" spans="2:5" ht="14.25" customHeight="1" x14ac:dyDescent="0.3">
      <c r="B2" s="16" t="s">
        <v>131</v>
      </c>
      <c r="C2" s="68" t="s">
        <v>40</v>
      </c>
      <c r="D2" s="68"/>
      <c r="E2" s="68"/>
    </row>
    <row r="3" spans="2:5" ht="41.7" customHeight="1" x14ac:dyDescent="0.3">
      <c r="B3" s="16" t="s">
        <v>132</v>
      </c>
      <c r="C3" s="68" t="s">
        <v>712</v>
      </c>
      <c r="D3" s="68"/>
      <c r="E3" s="68"/>
    </row>
    <row r="4" spans="2:5" ht="28.35" customHeight="1" x14ac:dyDescent="0.3">
      <c r="B4" s="16" t="s">
        <v>134</v>
      </c>
      <c r="C4" s="68" t="s">
        <v>713</v>
      </c>
      <c r="D4" s="68"/>
      <c r="E4" s="68"/>
    </row>
    <row r="5" spans="2:5" ht="28.35" customHeight="1" x14ac:dyDescent="0.3">
      <c r="B5" s="16" t="s">
        <v>136</v>
      </c>
      <c r="C5" s="68" t="s">
        <v>714</v>
      </c>
      <c r="D5" s="68"/>
      <c r="E5" s="68"/>
    </row>
    <row r="6" spans="2:5" ht="14.25" customHeight="1" x14ac:dyDescent="0.3">
      <c r="B6" s="16" t="s">
        <v>138</v>
      </c>
      <c r="C6" s="68" t="s">
        <v>139</v>
      </c>
      <c r="D6" s="68"/>
      <c r="E6" s="68"/>
    </row>
    <row r="7" spans="2:5" ht="55.2" customHeight="1" x14ac:dyDescent="0.3">
      <c r="B7" s="16" t="s">
        <v>140</v>
      </c>
      <c r="C7" s="68" t="s">
        <v>715</v>
      </c>
      <c r="D7" s="68"/>
      <c r="E7" s="68"/>
    </row>
    <row r="9" spans="2:5" ht="15" customHeight="1" x14ac:dyDescent="0.3">
      <c r="B9" s="17" t="s">
        <v>142</v>
      </c>
      <c r="C9" s="34"/>
      <c r="D9" s="34"/>
      <c r="E9" s="34"/>
    </row>
    <row r="10" spans="2:5" ht="14.25" customHeight="1" x14ac:dyDescent="0.3">
      <c r="B10" s="60" t="s">
        <v>143</v>
      </c>
      <c r="C10" s="60"/>
      <c r="D10" s="60"/>
      <c r="E10" s="60"/>
    </row>
    <row r="11" spans="2:5" ht="41.25" customHeight="1" x14ac:dyDescent="0.3">
      <c r="B11" s="31" t="s">
        <v>716</v>
      </c>
      <c r="C11" s="63" t="s">
        <v>717</v>
      </c>
      <c r="D11" s="63"/>
      <c r="E11" s="63"/>
    </row>
    <row r="12" spans="2:5" ht="41.25" customHeight="1" x14ac:dyDescent="0.3">
      <c r="B12" s="31" t="s">
        <v>718</v>
      </c>
      <c r="C12" s="63" t="s">
        <v>719</v>
      </c>
      <c r="D12" s="63"/>
      <c r="E12" s="63"/>
    </row>
    <row r="13" spans="2:5" ht="27" customHeight="1" x14ac:dyDescent="0.3">
      <c r="B13" s="31" t="s">
        <v>720</v>
      </c>
      <c r="C13" s="63" t="s">
        <v>721</v>
      </c>
      <c r="D13" s="63"/>
      <c r="E13" s="63"/>
    </row>
    <row r="14" spans="2:5" ht="41.25" customHeight="1" x14ac:dyDescent="0.3">
      <c r="B14" s="31" t="s">
        <v>722</v>
      </c>
      <c r="C14" s="63" t="s">
        <v>723</v>
      </c>
      <c r="D14" s="63"/>
      <c r="E14" s="63"/>
    </row>
    <row r="15" spans="2:5" ht="27" customHeight="1" x14ac:dyDescent="0.3">
      <c r="B15" s="31" t="s">
        <v>724</v>
      </c>
      <c r="C15" s="63" t="s">
        <v>725</v>
      </c>
      <c r="D15" s="63"/>
      <c r="E15" s="63"/>
    </row>
    <row r="16" spans="2:5" ht="27" customHeight="1" x14ac:dyDescent="0.3">
      <c r="B16" s="31" t="s">
        <v>726</v>
      </c>
      <c r="C16" s="63" t="s">
        <v>727</v>
      </c>
      <c r="D16" s="63"/>
      <c r="E16" s="63"/>
    </row>
    <row r="17" spans="2:5" ht="27" customHeight="1" x14ac:dyDescent="0.3">
      <c r="B17" s="31" t="s">
        <v>728</v>
      </c>
      <c r="C17" s="63" t="s">
        <v>729</v>
      </c>
      <c r="D17" s="63"/>
      <c r="E17" s="63"/>
    </row>
    <row r="19" spans="2:5" ht="14.25" customHeight="1" x14ac:dyDescent="0.3">
      <c r="B19" s="60" t="s">
        <v>152</v>
      </c>
      <c r="C19" s="60"/>
      <c r="D19" s="60"/>
    </row>
    <row r="20" spans="2:5" x14ac:dyDescent="0.3">
      <c r="B20" s="22" t="s">
        <v>153</v>
      </c>
      <c r="C20" s="22" t="s">
        <v>154</v>
      </c>
      <c r="D20" s="22" t="s">
        <v>155</v>
      </c>
    </row>
    <row r="21" spans="2:5" ht="110.25" customHeight="1" x14ac:dyDescent="0.3">
      <c r="B21" s="41">
        <v>1</v>
      </c>
      <c r="C21" s="3" t="s">
        <v>730</v>
      </c>
      <c r="D21" s="25" t="s">
        <v>731</v>
      </c>
    </row>
    <row r="22" spans="2:5" ht="123.75" customHeight="1" x14ac:dyDescent="0.3">
      <c r="B22" s="41">
        <v>2</v>
      </c>
      <c r="C22" s="3" t="s">
        <v>732</v>
      </c>
      <c r="D22" s="25" t="s">
        <v>733</v>
      </c>
    </row>
    <row r="23" spans="2:5" ht="82.5" customHeight="1" x14ac:dyDescent="0.3">
      <c r="B23" s="41">
        <v>3</v>
      </c>
      <c r="C23" s="3" t="s">
        <v>734</v>
      </c>
      <c r="D23" s="25" t="s">
        <v>735</v>
      </c>
    </row>
    <row r="24" spans="2:5" ht="96" customHeight="1" x14ac:dyDescent="0.3">
      <c r="B24" s="41">
        <v>4</v>
      </c>
      <c r="C24" s="3" t="s">
        <v>736</v>
      </c>
      <c r="D24" s="25" t="s">
        <v>737</v>
      </c>
    </row>
    <row r="25" spans="2:5" ht="69" customHeight="1" x14ac:dyDescent="0.3">
      <c r="B25" s="41">
        <v>5</v>
      </c>
      <c r="C25" s="3" t="s">
        <v>738</v>
      </c>
      <c r="D25" s="25" t="s">
        <v>739</v>
      </c>
    </row>
    <row r="26" spans="2:5" ht="110.25" customHeight="1" x14ac:dyDescent="0.3">
      <c r="B26" s="41">
        <v>6</v>
      </c>
      <c r="C26" s="3" t="s">
        <v>740</v>
      </c>
      <c r="D26" s="25" t="s">
        <v>741</v>
      </c>
    </row>
    <row r="27" spans="2:5" ht="69" customHeight="1" x14ac:dyDescent="0.3">
      <c r="B27" s="41">
        <v>7</v>
      </c>
      <c r="C27" s="3" t="s">
        <v>742</v>
      </c>
      <c r="D27" s="25" t="s">
        <v>743</v>
      </c>
    </row>
    <row r="29" spans="2:5" ht="14.25" customHeight="1" x14ac:dyDescent="0.3">
      <c r="B29" s="60" t="s">
        <v>164</v>
      </c>
      <c r="C29" s="60"/>
    </row>
    <row r="30" spans="2:5" x14ac:dyDescent="0.3">
      <c r="B30" s="22" t="s">
        <v>165</v>
      </c>
      <c r="C30" s="22" t="s">
        <v>166</v>
      </c>
    </row>
    <row r="31" spans="2:5" x14ac:dyDescent="0.3">
      <c r="B31" s="44" t="s">
        <v>167</v>
      </c>
      <c r="C31" s="44" t="s">
        <v>224</v>
      </c>
    </row>
    <row r="32" spans="2:5" x14ac:dyDescent="0.3">
      <c r="B32" s="44" t="s">
        <v>169</v>
      </c>
      <c r="C32" s="44" t="s">
        <v>223</v>
      </c>
    </row>
    <row r="33" spans="2:5" ht="86.25" customHeight="1" x14ac:dyDescent="0.3">
      <c r="B33" s="44" t="s">
        <v>171</v>
      </c>
      <c r="C33" s="44" t="s">
        <v>744</v>
      </c>
    </row>
    <row r="34" spans="2:5" x14ac:dyDescent="0.3">
      <c r="B34" s="44" t="s">
        <v>173</v>
      </c>
      <c r="C34" s="44" t="s">
        <v>221</v>
      </c>
    </row>
    <row r="35" spans="2:5" ht="72" customHeight="1" x14ac:dyDescent="0.3">
      <c r="B35" s="44" t="s">
        <v>175</v>
      </c>
      <c r="C35" s="44" t="s">
        <v>745</v>
      </c>
    </row>
    <row r="36" spans="2:5" ht="114.75" customHeight="1" x14ac:dyDescent="0.3">
      <c r="B36" s="44" t="s">
        <v>177</v>
      </c>
      <c r="C36" s="44" t="s">
        <v>746</v>
      </c>
    </row>
    <row r="37" spans="2:5" ht="57" customHeight="1" x14ac:dyDescent="0.3">
      <c r="B37" s="44" t="s">
        <v>179</v>
      </c>
      <c r="C37" s="44" t="s">
        <v>747</v>
      </c>
    </row>
    <row r="38" spans="2:5" ht="100.5" customHeight="1" x14ac:dyDescent="0.3">
      <c r="B38" s="44" t="s">
        <v>181</v>
      </c>
      <c r="C38" s="44" t="s">
        <v>748</v>
      </c>
    </row>
    <row r="39" spans="2:5" ht="100.5" customHeight="1" x14ac:dyDescent="0.3">
      <c r="B39" s="44" t="s">
        <v>183</v>
      </c>
      <c r="C39" s="44" t="s">
        <v>749</v>
      </c>
    </row>
    <row r="41" spans="2:5" ht="15" customHeight="1" x14ac:dyDescent="0.3">
      <c r="B41" s="17" t="s">
        <v>185</v>
      </c>
      <c r="C41" s="34"/>
      <c r="D41" s="34"/>
      <c r="E41" s="34"/>
    </row>
    <row r="42" spans="2:5" ht="14.25" customHeight="1" x14ac:dyDescent="0.3">
      <c r="B42" s="62" t="s">
        <v>186</v>
      </c>
      <c r="C42" s="62"/>
      <c r="D42" s="62"/>
      <c r="E42" s="62"/>
    </row>
    <row r="43" spans="2:5" ht="43.2" customHeight="1" x14ac:dyDescent="0.3">
      <c r="B43" s="31" t="s">
        <v>187</v>
      </c>
      <c r="C43" s="63" t="s">
        <v>750</v>
      </c>
      <c r="D43" s="63"/>
      <c r="E43" s="63"/>
    </row>
    <row r="44" spans="2:5" ht="43.2" customHeight="1" x14ac:dyDescent="0.3">
      <c r="B44" s="31" t="s">
        <v>751</v>
      </c>
      <c r="C44" s="63" t="s">
        <v>752</v>
      </c>
      <c r="D44" s="63"/>
      <c r="E44" s="63"/>
    </row>
    <row r="45" spans="2:5" ht="79.8" customHeight="1" x14ac:dyDescent="0.3">
      <c r="B45" s="31" t="s">
        <v>753</v>
      </c>
      <c r="C45" s="64" t="s">
        <v>754</v>
      </c>
      <c r="D45" s="64"/>
      <c r="E45" s="64"/>
    </row>
    <row r="46" spans="2:5" ht="55.2" customHeight="1" x14ac:dyDescent="0.3">
      <c r="B46" s="31" t="s">
        <v>755</v>
      </c>
      <c r="C46" s="68" t="s">
        <v>756</v>
      </c>
      <c r="D46" s="68"/>
      <c r="E46" s="68"/>
    </row>
    <row r="47" spans="2:5" ht="82.05" customHeight="1" x14ac:dyDescent="0.3">
      <c r="B47" s="31" t="s">
        <v>191</v>
      </c>
      <c r="C47" s="68" t="s">
        <v>757</v>
      </c>
      <c r="D47" s="68"/>
      <c r="E47" s="68"/>
    </row>
    <row r="48" spans="2:5" ht="55.2" customHeight="1" x14ac:dyDescent="0.3">
      <c r="B48" s="31" t="s">
        <v>758</v>
      </c>
      <c r="C48" s="68" t="s">
        <v>759</v>
      </c>
      <c r="D48" s="68"/>
      <c r="E48" s="68"/>
    </row>
    <row r="49" spans="2:11" ht="108.9" customHeight="1" x14ac:dyDescent="0.3">
      <c r="B49" s="31" t="s">
        <v>390</v>
      </c>
      <c r="C49" s="68" t="s">
        <v>760</v>
      </c>
      <c r="D49" s="68"/>
      <c r="E49" s="68"/>
    </row>
    <row r="50" spans="2:11" ht="108.9" customHeight="1" x14ac:dyDescent="0.3">
      <c r="B50" s="31" t="s">
        <v>761</v>
      </c>
      <c r="C50" s="68" t="s">
        <v>762</v>
      </c>
      <c r="D50" s="68"/>
      <c r="E50" s="68"/>
    </row>
    <row r="52" spans="2:11" ht="30.75" customHeight="1" x14ac:dyDescent="0.3">
      <c r="B52" s="17" t="s">
        <v>195</v>
      </c>
      <c r="C52" s="34"/>
      <c r="D52" s="34"/>
      <c r="E52" s="34"/>
      <c r="F52" s="34"/>
      <c r="G52" s="34"/>
      <c r="H52" s="34"/>
      <c r="I52" s="34"/>
      <c r="J52" s="34"/>
    </row>
    <row r="53" spans="2:11" ht="27" customHeight="1" x14ac:dyDescent="0.3">
      <c r="B53" s="26" t="s">
        <v>196</v>
      </c>
      <c r="C53" s="26" t="s">
        <v>197</v>
      </c>
      <c r="D53" s="26">
        <v>2</v>
      </c>
      <c r="E53" s="26">
        <v>3</v>
      </c>
      <c r="F53" s="26">
        <v>4</v>
      </c>
      <c r="G53" s="26">
        <v>5</v>
      </c>
      <c r="H53" s="26">
        <v>6</v>
      </c>
      <c r="I53" s="26">
        <v>7</v>
      </c>
      <c r="J53" s="26">
        <v>8</v>
      </c>
      <c r="K53" s="26">
        <v>9</v>
      </c>
    </row>
    <row r="54" spans="2:11" ht="82.5" customHeight="1" x14ac:dyDescent="0.3">
      <c r="B54" s="27" t="s">
        <v>130</v>
      </c>
      <c r="C54" s="27" t="s">
        <v>763</v>
      </c>
      <c r="D54" s="27" t="s">
        <v>764</v>
      </c>
      <c r="E54" s="27" t="s">
        <v>765</v>
      </c>
      <c r="F54" s="27" t="s">
        <v>766</v>
      </c>
      <c r="G54" s="27" t="s">
        <v>767</v>
      </c>
      <c r="H54" s="27" t="s">
        <v>768</v>
      </c>
      <c r="I54" s="27" t="s">
        <v>769</v>
      </c>
      <c r="J54" s="27" t="s">
        <v>770</v>
      </c>
      <c r="K54" s="27" t="s">
        <v>771</v>
      </c>
    </row>
    <row r="55" spans="2:11" ht="165" customHeight="1" x14ac:dyDescent="0.3">
      <c r="B55" s="16" t="s">
        <v>208</v>
      </c>
      <c r="C55" s="3" t="s">
        <v>772</v>
      </c>
      <c r="D55" s="3" t="s">
        <v>773</v>
      </c>
      <c r="E55" s="3" t="s">
        <v>774</v>
      </c>
      <c r="F55" s="3" t="s">
        <v>775</v>
      </c>
      <c r="G55" s="3" t="s">
        <v>776</v>
      </c>
      <c r="H55" s="3" t="s">
        <v>777</v>
      </c>
      <c r="I55" s="3" t="s">
        <v>778</v>
      </c>
      <c r="J55" s="3" t="s">
        <v>779</v>
      </c>
      <c r="K55" s="3" t="s">
        <v>780</v>
      </c>
    </row>
    <row r="56" spans="2:11" ht="54.75" customHeight="1" x14ac:dyDescent="0.3">
      <c r="B56" s="16" t="s">
        <v>167</v>
      </c>
      <c r="C56" s="23" t="s">
        <v>219</v>
      </c>
      <c r="D56" s="3" t="s">
        <v>781</v>
      </c>
      <c r="E56" s="23" t="s">
        <v>219</v>
      </c>
      <c r="F56" s="3" t="s">
        <v>782</v>
      </c>
      <c r="G56" s="3" t="s">
        <v>783</v>
      </c>
      <c r="H56" s="3" t="s">
        <v>784</v>
      </c>
      <c r="I56" s="23" t="s">
        <v>277</v>
      </c>
      <c r="J56" s="23" t="s">
        <v>277</v>
      </c>
      <c r="K56" s="3" t="s">
        <v>784</v>
      </c>
    </row>
    <row r="57" spans="2:11" ht="21" customHeight="1" x14ac:dyDescent="0.3">
      <c r="B57" s="16" t="s">
        <v>169</v>
      </c>
      <c r="C57" s="23" t="s">
        <v>278</v>
      </c>
      <c r="D57" s="3" t="s">
        <v>785</v>
      </c>
      <c r="E57" s="3" t="s">
        <v>786</v>
      </c>
      <c r="F57" s="23" t="s">
        <v>787</v>
      </c>
      <c r="G57" s="3" t="s">
        <v>788</v>
      </c>
      <c r="H57" s="3" t="s">
        <v>788</v>
      </c>
      <c r="I57" s="3" t="s">
        <v>789</v>
      </c>
      <c r="J57" s="23" t="s">
        <v>221</v>
      </c>
      <c r="K57" s="23" t="s">
        <v>230</v>
      </c>
    </row>
    <row r="58" spans="2:11" ht="24" customHeight="1" x14ac:dyDescent="0.3">
      <c r="B58" s="16" t="s">
        <v>231</v>
      </c>
      <c r="C58" s="23" t="s">
        <v>232</v>
      </c>
      <c r="D58" s="23" t="s">
        <v>232</v>
      </c>
      <c r="E58" s="3" t="s">
        <v>790</v>
      </c>
      <c r="F58" s="3" t="s">
        <v>791</v>
      </c>
      <c r="G58" s="23" t="s">
        <v>232</v>
      </c>
      <c r="H58" s="23" t="s">
        <v>792</v>
      </c>
      <c r="I58" s="23" t="s">
        <v>232</v>
      </c>
      <c r="J58" s="23" t="s">
        <v>232</v>
      </c>
      <c r="K58" s="23" t="s">
        <v>232</v>
      </c>
    </row>
    <row r="59" spans="2:11" ht="22.5" customHeight="1" x14ac:dyDescent="0.3">
      <c r="B59" s="16" t="s">
        <v>177</v>
      </c>
      <c r="C59" s="3" t="s">
        <v>793</v>
      </c>
      <c r="D59" s="23" t="s">
        <v>794</v>
      </c>
      <c r="E59" s="23" t="s">
        <v>795</v>
      </c>
      <c r="F59" s="23" t="s">
        <v>796</v>
      </c>
      <c r="G59" s="3" t="s">
        <v>797</v>
      </c>
      <c r="H59" s="3" t="s">
        <v>797</v>
      </c>
      <c r="I59" s="23" t="s">
        <v>233</v>
      </c>
      <c r="J59" s="23" t="s">
        <v>233</v>
      </c>
      <c r="K59" s="3" t="s">
        <v>798</v>
      </c>
    </row>
    <row r="60" spans="2:11" ht="13.5" customHeight="1" x14ac:dyDescent="0.3">
      <c r="B60" s="16" t="s">
        <v>179</v>
      </c>
      <c r="C60" s="23" t="s">
        <v>799</v>
      </c>
      <c r="D60" s="3" t="s">
        <v>800</v>
      </c>
      <c r="E60" s="3" t="s">
        <v>801</v>
      </c>
      <c r="F60" s="23" t="s">
        <v>802</v>
      </c>
      <c r="G60" s="23" t="s">
        <v>223</v>
      </c>
      <c r="H60" s="23" t="s">
        <v>223</v>
      </c>
      <c r="I60" s="23" t="s">
        <v>223</v>
      </c>
      <c r="J60" s="23" t="s">
        <v>223</v>
      </c>
      <c r="K60" s="23" t="s">
        <v>223</v>
      </c>
    </row>
    <row r="61" spans="2:11" ht="18.75" customHeight="1" x14ac:dyDescent="0.3">
      <c r="B61" s="16" t="s">
        <v>238</v>
      </c>
      <c r="C61" s="3" t="s">
        <v>803</v>
      </c>
      <c r="D61" s="23" t="s">
        <v>804</v>
      </c>
      <c r="E61" s="23" t="s">
        <v>805</v>
      </c>
      <c r="F61" s="23" t="s">
        <v>802</v>
      </c>
      <c r="G61" s="23" t="s">
        <v>223</v>
      </c>
      <c r="H61" s="23" t="s">
        <v>223</v>
      </c>
      <c r="I61" s="23" t="s">
        <v>223</v>
      </c>
      <c r="J61" s="23" t="s">
        <v>223</v>
      </c>
      <c r="K61" s="23" t="s">
        <v>223</v>
      </c>
    </row>
    <row r="62" spans="2:11" x14ac:dyDescent="0.3">
      <c r="B62" s="16" t="s">
        <v>181</v>
      </c>
      <c r="C62" s="23" t="s">
        <v>228</v>
      </c>
      <c r="D62" s="23" t="s">
        <v>228</v>
      </c>
      <c r="E62" s="23" t="s">
        <v>228</v>
      </c>
      <c r="F62" s="23" t="s">
        <v>228</v>
      </c>
      <c r="G62" s="23" t="s">
        <v>232</v>
      </c>
      <c r="H62" s="23" t="s">
        <v>232</v>
      </c>
      <c r="I62" s="23" t="s">
        <v>232</v>
      </c>
      <c r="J62" s="23" t="s">
        <v>232</v>
      </c>
      <c r="K62" s="23" t="s">
        <v>232</v>
      </c>
    </row>
    <row r="63" spans="2:11" x14ac:dyDescent="0.3">
      <c r="B63" s="51" t="s">
        <v>183</v>
      </c>
      <c r="C63" s="52" t="s">
        <v>228</v>
      </c>
      <c r="D63" s="52" t="s">
        <v>228</v>
      </c>
      <c r="E63" s="52" t="s">
        <v>228</v>
      </c>
      <c r="F63" s="52" t="s">
        <v>228</v>
      </c>
      <c r="G63" s="52" t="s">
        <v>228</v>
      </c>
      <c r="H63" s="52" t="s">
        <v>228</v>
      </c>
      <c r="I63" s="52" t="s">
        <v>228</v>
      </c>
      <c r="J63" s="52" t="s">
        <v>228</v>
      </c>
      <c r="K63" s="23" t="s">
        <v>228</v>
      </c>
    </row>
    <row r="64" spans="2:11" ht="26.25" customHeight="1" x14ac:dyDescent="0.3">
      <c r="B64" s="16" t="s">
        <v>243</v>
      </c>
      <c r="C64" s="3" t="s">
        <v>806</v>
      </c>
      <c r="D64" s="3" t="s">
        <v>807</v>
      </c>
      <c r="E64" s="3" t="s">
        <v>808</v>
      </c>
      <c r="F64" s="3" t="s">
        <v>809</v>
      </c>
      <c r="G64" s="3" t="s">
        <v>810</v>
      </c>
      <c r="H64" s="3" t="s">
        <v>811</v>
      </c>
      <c r="I64" s="3" t="s">
        <v>812</v>
      </c>
      <c r="J64" s="3" t="s">
        <v>813</v>
      </c>
      <c r="K64" s="53" t="s">
        <v>814</v>
      </c>
    </row>
    <row r="65" spans="2:11" x14ac:dyDescent="0.3">
      <c r="B65" s="18"/>
      <c r="C65" s="9"/>
      <c r="D65" s="9"/>
      <c r="E65" s="9"/>
      <c r="F65" s="9"/>
      <c r="G65" s="9"/>
      <c r="H65" s="9"/>
      <c r="I65" s="9"/>
      <c r="J65" s="9"/>
      <c r="K65" s="9"/>
    </row>
    <row r="66" spans="2:11" ht="14.25" customHeight="1" x14ac:dyDescent="0.3">
      <c r="B66" s="60" t="s">
        <v>254</v>
      </c>
      <c r="C66" s="60"/>
      <c r="D66" s="60"/>
      <c r="E66" s="60"/>
      <c r="F66" s="60"/>
      <c r="G66" s="60"/>
      <c r="H66" s="60"/>
      <c r="I66" s="60"/>
      <c r="J66" s="60"/>
    </row>
    <row r="67" spans="2:11" ht="41.25" customHeight="1" x14ac:dyDescent="0.3">
      <c r="B67" s="22" t="s">
        <v>255</v>
      </c>
      <c r="C67" s="22" t="s">
        <v>167</v>
      </c>
      <c r="D67" s="22" t="s">
        <v>169</v>
      </c>
      <c r="E67" s="22" t="s">
        <v>171</v>
      </c>
      <c r="F67" s="22" t="s">
        <v>177</v>
      </c>
      <c r="G67" s="22" t="s">
        <v>179</v>
      </c>
      <c r="H67" s="22" t="s">
        <v>175</v>
      </c>
      <c r="I67" s="22" t="s">
        <v>181</v>
      </c>
      <c r="J67" s="22" t="s">
        <v>183</v>
      </c>
    </row>
    <row r="68" spans="2:11" ht="41.25" customHeight="1" x14ac:dyDescent="0.3">
      <c r="B68" s="31">
        <v>1</v>
      </c>
      <c r="C68" s="23" t="s">
        <v>219</v>
      </c>
      <c r="D68" s="23" t="s">
        <v>278</v>
      </c>
      <c r="E68" s="23" t="s">
        <v>232</v>
      </c>
      <c r="F68" s="3" t="s">
        <v>793</v>
      </c>
      <c r="G68" s="23" t="s">
        <v>799</v>
      </c>
      <c r="H68" s="3" t="s">
        <v>803</v>
      </c>
      <c r="I68" s="23" t="s">
        <v>228</v>
      </c>
      <c r="J68" s="23" t="s">
        <v>228</v>
      </c>
    </row>
    <row r="69" spans="2:11" ht="27" customHeight="1" x14ac:dyDescent="0.3">
      <c r="B69" s="31">
        <v>2</v>
      </c>
      <c r="C69" s="23" t="s">
        <v>240</v>
      </c>
      <c r="D69" s="23" t="s">
        <v>815</v>
      </c>
      <c r="E69" s="23" t="s">
        <v>232</v>
      </c>
      <c r="F69" s="23" t="s">
        <v>233</v>
      </c>
      <c r="G69" s="23" t="s">
        <v>816</v>
      </c>
      <c r="H69" s="23" t="s">
        <v>804</v>
      </c>
      <c r="I69" s="23" t="s">
        <v>228</v>
      </c>
      <c r="J69" s="23" t="s">
        <v>228</v>
      </c>
    </row>
    <row r="70" spans="2:11" ht="27" customHeight="1" x14ac:dyDescent="0.3">
      <c r="B70" s="31">
        <v>3</v>
      </c>
      <c r="C70" s="23" t="s">
        <v>219</v>
      </c>
      <c r="D70" s="23" t="s">
        <v>278</v>
      </c>
      <c r="E70" s="23" t="s">
        <v>256</v>
      </c>
      <c r="F70" s="23" t="s">
        <v>233</v>
      </c>
      <c r="G70" s="3" t="s">
        <v>801</v>
      </c>
      <c r="H70" s="23" t="s">
        <v>805</v>
      </c>
      <c r="I70" s="23" t="s">
        <v>228</v>
      </c>
      <c r="J70" s="23" t="s">
        <v>228</v>
      </c>
    </row>
    <row r="71" spans="2:11" x14ac:dyDescent="0.3">
      <c r="B71" s="31">
        <v>4</v>
      </c>
      <c r="C71" s="23" t="s">
        <v>224</v>
      </c>
      <c r="D71" s="23" t="s">
        <v>787</v>
      </c>
      <c r="E71" s="23" t="s">
        <v>223</v>
      </c>
      <c r="F71" s="23" t="s">
        <v>233</v>
      </c>
      <c r="G71" s="23" t="s">
        <v>802</v>
      </c>
      <c r="H71" s="23" t="s">
        <v>802</v>
      </c>
      <c r="I71" s="23" t="s">
        <v>228</v>
      </c>
      <c r="J71" s="23" t="s">
        <v>228</v>
      </c>
    </row>
    <row r="72" spans="2:11" ht="27" customHeight="1" x14ac:dyDescent="0.3">
      <c r="B72" s="31">
        <v>5</v>
      </c>
      <c r="C72" s="23" t="s">
        <v>223</v>
      </c>
      <c r="D72" s="23" t="s">
        <v>296</v>
      </c>
      <c r="E72" s="23" t="s">
        <v>232</v>
      </c>
      <c r="F72" s="23" t="s">
        <v>817</v>
      </c>
      <c r="G72" s="23" t="s">
        <v>223</v>
      </c>
      <c r="H72" s="23" t="s">
        <v>223</v>
      </c>
      <c r="I72" s="23" t="s">
        <v>232</v>
      </c>
      <c r="J72" s="23" t="s">
        <v>228</v>
      </c>
    </row>
    <row r="73" spans="2:11" ht="27" customHeight="1" x14ac:dyDescent="0.3">
      <c r="B73" s="31">
        <v>6</v>
      </c>
      <c r="C73" s="23" t="s">
        <v>221</v>
      </c>
      <c r="D73" s="23" t="s">
        <v>296</v>
      </c>
      <c r="E73" s="23" t="s">
        <v>219</v>
      </c>
      <c r="F73" s="23" t="s">
        <v>817</v>
      </c>
      <c r="G73" s="23" t="s">
        <v>223</v>
      </c>
      <c r="H73" s="23" t="s">
        <v>223</v>
      </c>
      <c r="I73" s="23" t="s">
        <v>232</v>
      </c>
      <c r="J73" s="23" t="s">
        <v>228</v>
      </c>
    </row>
    <row r="74" spans="2:11" x14ac:dyDescent="0.3">
      <c r="B74" s="31">
        <v>7</v>
      </c>
      <c r="C74" s="23" t="s">
        <v>277</v>
      </c>
      <c r="D74" s="23" t="s">
        <v>278</v>
      </c>
      <c r="E74" s="23" t="s">
        <v>232</v>
      </c>
      <c r="F74" s="23" t="s">
        <v>233</v>
      </c>
      <c r="G74" s="23" t="s">
        <v>223</v>
      </c>
      <c r="H74" s="23" t="s">
        <v>223</v>
      </c>
      <c r="I74" s="23" t="s">
        <v>232</v>
      </c>
      <c r="J74" s="23" t="s">
        <v>228</v>
      </c>
    </row>
    <row r="75" spans="2:11" x14ac:dyDescent="0.3">
      <c r="B75" s="31">
        <v>8</v>
      </c>
      <c r="C75" s="23" t="s">
        <v>277</v>
      </c>
      <c r="D75" s="23" t="s">
        <v>221</v>
      </c>
      <c r="E75" s="23" t="s">
        <v>232</v>
      </c>
      <c r="F75" s="23" t="s">
        <v>233</v>
      </c>
      <c r="G75" s="23" t="s">
        <v>223</v>
      </c>
      <c r="H75" s="23" t="s">
        <v>223</v>
      </c>
      <c r="I75" s="23" t="s">
        <v>232</v>
      </c>
      <c r="J75" s="23" t="s">
        <v>228</v>
      </c>
    </row>
    <row r="76" spans="2:11" ht="27" customHeight="1" x14ac:dyDescent="0.3">
      <c r="B76" s="31">
        <v>9</v>
      </c>
      <c r="C76" s="23" t="s">
        <v>221</v>
      </c>
      <c r="D76" s="23" t="s">
        <v>230</v>
      </c>
      <c r="E76" s="23" t="s">
        <v>232</v>
      </c>
      <c r="F76" s="23" t="s">
        <v>818</v>
      </c>
      <c r="G76" s="23" t="s">
        <v>223</v>
      </c>
      <c r="H76" s="23" t="s">
        <v>223</v>
      </c>
      <c r="I76" s="23" t="s">
        <v>232</v>
      </c>
      <c r="J76" s="23" t="s">
        <v>228</v>
      </c>
    </row>
    <row r="77" spans="2:11" ht="27" customHeight="1" x14ac:dyDescent="0.3">
      <c r="B77" s="31">
        <v>10</v>
      </c>
      <c r="C77" s="23" t="s">
        <v>219</v>
      </c>
      <c r="D77" s="23" t="s">
        <v>278</v>
      </c>
      <c r="E77" s="23" t="s">
        <v>232</v>
      </c>
      <c r="F77" s="23" t="s">
        <v>819</v>
      </c>
      <c r="G77" s="3" t="s">
        <v>820</v>
      </c>
      <c r="H77" s="23" t="s">
        <v>821</v>
      </c>
      <c r="I77" s="23" t="s">
        <v>450</v>
      </c>
      <c r="J77" s="23" t="s">
        <v>228</v>
      </c>
    </row>
    <row r="79" spans="2:11" ht="30.75" customHeight="1" x14ac:dyDescent="0.3">
      <c r="B79" s="17" t="s">
        <v>264</v>
      </c>
      <c r="C79" s="34"/>
      <c r="D79" s="34"/>
      <c r="E79" s="34"/>
    </row>
    <row r="80" spans="2:11" ht="27" customHeight="1" x14ac:dyDescent="0.3">
      <c r="B80" s="26" t="s">
        <v>196</v>
      </c>
      <c r="C80" s="26" t="s">
        <v>689</v>
      </c>
      <c r="D80" s="26">
        <v>12</v>
      </c>
      <c r="E80" s="26">
        <v>13</v>
      </c>
    </row>
    <row r="81" spans="2:10" ht="82.5" customHeight="1" x14ac:dyDescent="0.3">
      <c r="B81" s="27" t="s">
        <v>130</v>
      </c>
      <c r="C81" s="27" t="s">
        <v>822</v>
      </c>
      <c r="D81" s="27" t="s">
        <v>823</v>
      </c>
      <c r="E81" s="27" t="s">
        <v>824</v>
      </c>
    </row>
    <row r="82" spans="2:10" ht="230.25" customHeight="1" x14ac:dyDescent="0.3">
      <c r="B82" s="16" t="s">
        <v>208</v>
      </c>
      <c r="C82" s="35" t="s">
        <v>825</v>
      </c>
      <c r="D82" s="35" t="s">
        <v>826</v>
      </c>
      <c r="E82" s="35" t="s">
        <v>827</v>
      </c>
    </row>
    <row r="83" spans="2:10" x14ac:dyDescent="0.3">
      <c r="B83" s="16" t="s">
        <v>167</v>
      </c>
      <c r="C83" s="35" t="s">
        <v>223</v>
      </c>
      <c r="D83" s="25" t="s">
        <v>277</v>
      </c>
      <c r="E83" s="35" t="s">
        <v>221</v>
      </c>
    </row>
    <row r="84" spans="2:10" x14ac:dyDescent="0.3">
      <c r="B84" s="16" t="s">
        <v>169</v>
      </c>
      <c r="C84" s="35" t="s">
        <v>229</v>
      </c>
      <c r="D84" s="36" t="s">
        <v>221</v>
      </c>
      <c r="E84" s="35" t="s">
        <v>221</v>
      </c>
    </row>
    <row r="85" spans="2:10" x14ac:dyDescent="0.3">
      <c r="B85" s="16" t="s">
        <v>231</v>
      </c>
      <c r="C85" s="25" t="s">
        <v>232</v>
      </c>
      <c r="D85" s="35" t="s">
        <v>232</v>
      </c>
      <c r="E85" s="35" t="s">
        <v>232</v>
      </c>
    </row>
    <row r="86" spans="2:10" ht="42.75" customHeight="1" x14ac:dyDescent="0.3">
      <c r="B86" s="16" t="s">
        <v>177</v>
      </c>
      <c r="C86" s="25" t="s">
        <v>279</v>
      </c>
      <c r="D86" s="35" t="s">
        <v>279</v>
      </c>
      <c r="E86" s="35" t="s">
        <v>233</v>
      </c>
    </row>
    <row r="87" spans="2:10" x14ac:dyDescent="0.3">
      <c r="B87" s="16" t="s">
        <v>179</v>
      </c>
      <c r="C87" s="25" t="s">
        <v>223</v>
      </c>
      <c r="D87" s="35" t="s">
        <v>223</v>
      </c>
      <c r="E87" s="35" t="s">
        <v>223</v>
      </c>
    </row>
    <row r="88" spans="2:10" ht="28.5" customHeight="1" x14ac:dyDescent="0.3">
      <c r="B88" s="16" t="s">
        <v>238</v>
      </c>
      <c r="C88" s="25" t="s">
        <v>239</v>
      </c>
      <c r="D88" s="35" t="s">
        <v>239</v>
      </c>
      <c r="E88" s="35" t="s">
        <v>239</v>
      </c>
    </row>
    <row r="89" spans="2:10" x14ac:dyDescent="0.3">
      <c r="B89" s="16" t="s">
        <v>181</v>
      </c>
      <c r="C89" s="25" t="s">
        <v>232</v>
      </c>
      <c r="D89" s="35" t="s">
        <v>232</v>
      </c>
      <c r="E89" s="35" t="s">
        <v>232</v>
      </c>
    </row>
    <row r="90" spans="2:10" x14ac:dyDescent="0.3">
      <c r="B90" s="16" t="s">
        <v>183</v>
      </c>
      <c r="C90" s="25" t="s">
        <v>232</v>
      </c>
      <c r="D90" s="35" t="s">
        <v>232</v>
      </c>
      <c r="E90" s="35" t="s">
        <v>232</v>
      </c>
    </row>
    <row r="91" spans="2:10" ht="230.25" customHeight="1" x14ac:dyDescent="0.3">
      <c r="B91" s="16" t="s">
        <v>243</v>
      </c>
      <c r="C91" s="35" t="s">
        <v>828</v>
      </c>
      <c r="D91" s="35" t="s">
        <v>829</v>
      </c>
      <c r="E91" s="35" t="s">
        <v>830</v>
      </c>
    </row>
    <row r="93" spans="2:10" ht="14.25" customHeight="1" x14ac:dyDescent="0.3">
      <c r="B93" s="60" t="s">
        <v>581</v>
      </c>
      <c r="C93" s="60"/>
      <c r="D93" s="60"/>
      <c r="E93" s="60"/>
      <c r="F93" s="60"/>
      <c r="G93" s="60"/>
      <c r="H93" s="60"/>
      <c r="I93" s="60"/>
      <c r="J93" s="60"/>
    </row>
    <row r="94" spans="2:10" ht="41.25" customHeight="1" x14ac:dyDescent="0.3">
      <c r="B94" s="22" t="s">
        <v>255</v>
      </c>
      <c r="C94" s="22" t="s">
        <v>167</v>
      </c>
      <c r="D94" s="22" t="s">
        <v>169</v>
      </c>
      <c r="E94" s="22" t="s">
        <v>171</v>
      </c>
      <c r="F94" s="22" t="s">
        <v>177</v>
      </c>
      <c r="G94" s="22" t="s">
        <v>179</v>
      </c>
      <c r="H94" s="22" t="s">
        <v>175</v>
      </c>
      <c r="I94" s="22" t="s">
        <v>181</v>
      </c>
      <c r="J94" s="22" t="s">
        <v>183</v>
      </c>
    </row>
    <row r="95" spans="2:10" ht="28.5" customHeight="1" x14ac:dyDescent="0.3">
      <c r="B95" s="44">
        <v>11</v>
      </c>
      <c r="C95" s="44" t="s">
        <v>223</v>
      </c>
      <c r="D95" s="44" t="s">
        <v>229</v>
      </c>
      <c r="E95" s="44" t="s">
        <v>232</v>
      </c>
      <c r="F95" s="44" t="s">
        <v>583</v>
      </c>
      <c r="G95" s="37" t="s">
        <v>223</v>
      </c>
      <c r="H95" s="37" t="s">
        <v>239</v>
      </c>
      <c r="I95" s="37" t="s">
        <v>232</v>
      </c>
      <c r="J95" s="37" t="s">
        <v>232</v>
      </c>
    </row>
    <row r="96" spans="2:10" ht="28.5" customHeight="1" x14ac:dyDescent="0.3">
      <c r="B96" s="44">
        <v>12</v>
      </c>
      <c r="C96" s="44" t="s">
        <v>277</v>
      </c>
      <c r="D96" s="44" t="s">
        <v>221</v>
      </c>
      <c r="E96" s="44" t="s">
        <v>232</v>
      </c>
      <c r="F96" s="44" t="s">
        <v>583</v>
      </c>
      <c r="G96" s="37" t="s">
        <v>223</v>
      </c>
      <c r="H96" s="37" t="s">
        <v>239</v>
      </c>
      <c r="I96" s="37" t="s">
        <v>232</v>
      </c>
      <c r="J96" s="37" t="s">
        <v>232</v>
      </c>
    </row>
    <row r="97" spans="2:11" x14ac:dyDescent="0.3">
      <c r="B97" s="44">
        <v>13</v>
      </c>
      <c r="C97" s="44" t="s">
        <v>221</v>
      </c>
      <c r="D97" s="44" t="s">
        <v>221</v>
      </c>
      <c r="E97" s="44" t="s">
        <v>232</v>
      </c>
      <c r="F97" s="44" t="s">
        <v>233</v>
      </c>
      <c r="G97" s="37" t="s">
        <v>223</v>
      </c>
      <c r="H97" s="37" t="s">
        <v>239</v>
      </c>
      <c r="I97" s="37" t="s">
        <v>232</v>
      </c>
      <c r="J97" s="37" t="s">
        <v>232</v>
      </c>
    </row>
    <row r="99" spans="2:11" ht="14.25" customHeight="1" x14ac:dyDescent="0.3">
      <c r="B99" s="60" t="s">
        <v>288</v>
      </c>
      <c r="C99" s="60"/>
      <c r="D99" s="60"/>
      <c r="E99" s="60"/>
      <c r="F99" s="60"/>
      <c r="G99" s="60"/>
      <c r="H99" s="60"/>
      <c r="I99" s="60"/>
      <c r="J99" s="60"/>
    </row>
    <row r="100" spans="2:11" ht="41.25" customHeight="1" x14ac:dyDescent="0.3">
      <c r="B100" s="54" t="s">
        <v>289</v>
      </c>
      <c r="C100" s="55" t="s">
        <v>831</v>
      </c>
      <c r="D100" s="55" t="s">
        <v>832</v>
      </c>
      <c r="E100" s="55" t="s">
        <v>833</v>
      </c>
      <c r="F100" s="55" t="s">
        <v>834</v>
      </c>
      <c r="G100" s="55" t="s">
        <v>835</v>
      </c>
      <c r="H100" s="55" t="s">
        <v>836</v>
      </c>
      <c r="I100" s="55" t="s">
        <v>837</v>
      </c>
      <c r="J100" s="54" t="s">
        <v>838</v>
      </c>
    </row>
    <row r="101" spans="2:11" ht="41.25" customHeight="1" x14ac:dyDescent="0.3">
      <c r="B101" s="31">
        <v>1</v>
      </c>
      <c r="C101" s="3" t="s">
        <v>839</v>
      </c>
      <c r="D101" s="23" t="s">
        <v>840</v>
      </c>
      <c r="E101" s="23" t="s">
        <v>223</v>
      </c>
      <c r="F101" s="3" t="s">
        <v>292</v>
      </c>
      <c r="G101" s="3" t="s">
        <v>841</v>
      </c>
      <c r="H101" s="23" t="s">
        <v>842</v>
      </c>
      <c r="I101" s="23" t="s">
        <v>843</v>
      </c>
      <c r="J101" s="44" t="s">
        <v>844</v>
      </c>
    </row>
    <row r="102" spans="2:11" ht="27" customHeight="1" x14ac:dyDescent="0.3">
      <c r="B102" s="31">
        <v>2</v>
      </c>
      <c r="C102" s="3" t="s">
        <v>845</v>
      </c>
      <c r="D102" s="23" t="s">
        <v>846</v>
      </c>
      <c r="E102" s="23" t="s">
        <v>240</v>
      </c>
      <c r="F102" s="3" t="s">
        <v>847</v>
      </c>
      <c r="G102" s="3" t="s">
        <v>848</v>
      </c>
      <c r="H102" s="23" t="s">
        <v>849</v>
      </c>
      <c r="I102" s="23" t="s">
        <v>850</v>
      </c>
      <c r="J102" s="44" t="s">
        <v>851</v>
      </c>
    </row>
    <row r="103" spans="2:11" ht="54.75" customHeight="1" x14ac:dyDescent="0.3">
      <c r="B103" s="31">
        <v>3</v>
      </c>
      <c r="C103" s="3" t="s">
        <v>852</v>
      </c>
      <c r="D103" s="23" t="s">
        <v>840</v>
      </c>
      <c r="E103" s="23" t="s">
        <v>802</v>
      </c>
      <c r="F103" s="3" t="s">
        <v>853</v>
      </c>
      <c r="G103" s="3" t="s">
        <v>854</v>
      </c>
      <c r="H103" s="23" t="s">
        <v>842</v>
      </c>
      <c r="I103" s="23" t="s">
        <v>222</v>
      </c>
      <c r="J103" s="35" t="s">
        <v>855</v>
      </c>
    </row>
    <row r="104" spans="2:11" ht="27" customHeight="1" x14ac:dyDescent="0.3">
      <c r="B104" s="31">
        <v>4</v>
      </c>
      <c r="C104" s="3" t="s">
        <v>856</v>
      </c>
      <c r="D104" s="23" t="s">
        <v>857</v>
      </c>
      <c r="E104" s="23" t="s">
        <v>858</v>
      </c>
      <c r="F104" s="23" t="s">
        <v>859</v>
      </c>
      <c r="G104" s="23" t="s">
        <v>296</v>
      </c>
      <c r="H104" s="23" t="s">
        <v>860</v>
      </c>
      <c r="I104" s="23" t="s">
        <v>850</v>
      </c>
      <c r="J104" s="35" t="s">
        <v>851</v>
      </c>
    </row>
    <row r="105" spans="2:11" x14ac:dyDescent="0.3">
      <c r="B105" s="34"/>
      <c r="C105" s="34"/>
      <c r="D105" s="34"/>
      <c r="E105" s="34"/>
      <c r="F105" s="34"/>
      <c r="G105" s="34"/>
      <c r="H105" s="34"/>
      <c r="I105" s="34"/>
      <c r="J105" s="34"/>
    </row>
    <row r="106" spans="2:11" ht="14.25" customHeight="1" x14ac:dyDescent="0.3">
      <c r="B106" s="61" t="s">
        <v>306</v>
      </c>
      <c r="C106" s="61"/>
      <c r="D106" s="61"/>
      <c r="E106" s="61"/>
      <c r="F106" s="61"/>
      <c r="G106" s="61"/>
      <c r="H106" s="61"/>
      <c r="I106" s="34"/>
      <c r="J106" s="34"/>
    </row>
    <row r="107" spans="2:11" ht="41.25" customHeight="1" x14ac:dyDescent="0.3">
      <c r="B107" s="27" t="s">
        <v>255</v>
      </c>
      <c r="C107" s="27" t="s">
        <v>167</v>
      </c>
      <c r="D107" s="27" t="s">
        <v>307</v>
      </c>
      <c r="E107" s="27" t="s">
        <v>308</v>
      </c>
      <c r="F107" s="27" t="s">
        <v>309</v>
      </c>
      <c r="G107" s="27" t="s">
        <v>181</v>
      </c>
      <c r="H107" s="27" t="s">
        <v>310</v>
      </c>
      <c r="I107" s="34"/>
      <c r="J107" s="46"/>
      <c r="K107" s="46"/>
    </row>
    <row r="108" spans="2:11" ht="27" customHeight="1" x14ac:dyDescent="0.3">
      <c r="B108" s="22" t="s">
        <v>255</v>
      </c>
      <c r="C108" s="22" t="s">
        <v>167</v>
      </c>
      <c r="D108" s="22" t="s">
        <v>311</v>
      </c>
      <c r="E108" s="22" t="s">
        <v>308</v>
      </c>
      <c r="F108" s="22" t="s">
        <v>312</v>
      </c>
      <c r="G108" s="22" t="s">
        <v>181</v>
      </c>
      <c r="H108" s="22" t="s">
        <v>313</v>
      </c>
      <c r="I108" s="34"/>
      <c r="J108" s="46"/>
      <c r="K108" s="46"/>
    </row>
    <row r="109" spans="2:11" x14ac:dyDescent="0.3">
      <c r="B109" s="31">
        <v>1</v>
      </c>
      <c r="C109" s="23">
        <v>3</v>
      </c>
      <c r="D109" s="23">
        <v>5</v>
      </c>
      <c r="E109" s="23">
        <v>4</v>
      </c>
      <c r="F109" s="23">
        <v>3</v>
      </c>
      <c r="G109" s="23">
        <v>4</v>
      </c>
      <c r="H109" s="39">
        <f t="shared" ref="H109:H118" si="0">AVERAGE(C109:G109)</f>
        <v>3.8</v>
      </c>
      <c r="I109" s="34"/>
      <c r="J109" s="46"/>
      <c r="K109" s="46"/>
    </row>
    <row r="110" spans="2:11" x14ac:dyDescent="0.3">
      <c r="B110" s="31">
        <v>2</v>
      </c>
      <c r="C110" s="23">
        <v>2</v>
      </c>
      <c r="D110" s="23">
        <v>5</v>
      </c>
      <c r="E110" s="23">
        <v>3</v>
      </c>
      <c r="F110" s="23">
        <v>3</v>
      </c>
      <c r="G110" s="23">
        <v>3</v>
      </c>
      <c r="H110" s="39">
        <f t="shared" si="0"/>
        <v>3.2</v>
      </c>
      <c r="I110" s="34"/>
      <c r="J110" s="46"/>
      <c r="K110" s="46"/>
    </row>
    <row r="111" spans="2:11" x14ac:dyDescent="0.3">
      <c r="B111" s="31">
        <v>3</v>
      </c>
      <c r="C111" s="23">
        <v>4</v>
      </c>
      <c r="D111" s="23">
        <v>5</v>
      </c>
      <c r="E111" s="23">
        <v>5</v>
      </c>
      <c r="F111" s="23">
        <v>4</v>
      </c>
      <c r="G111" s="23">
        <v>3</v>
      </c>
      <c r="H111" s="39">
        <f t="shared" si="0"/>
        <v>4.2</v>
      </c>
      <c r="I111" s="34"/>
      <c r="J111" s="46"/>
      <c r="K111" s="46"/>
    </row>
    <row r="112" spans="2:11" x14ac:dyDescent="0.3">
      <c r="B112" s="31">
        <v>4</v>
      </c>
      <c r="C112" s="23">
        <v>4</v>
      </c>
      <c r="D112" s="23">
        <v>5</v>
      </c>
      <c r="E112" s="23">
        <v>4</v>
      </c>
      <c r="F112" s="23">
        <v>4</v>
      </c>
      <c r="G112" s="23">
        <v>3</v>
      </c>
      <c r="H112" s="39">
        <f t="shared" si="0"/>
        <v>4</v>
      </c>
      <c r="I112" s="34"/>
      <c r="J112" s="34"/>
    </row>
    <row r="113" spans="2:10" x14ac:dyDescent="0.3">
      <c r="B113" s="31">
        <v>5</v>
      </c>
      <c r="C113" s="23">
        <v>5</v>
      </c>
      <c r="D113" s="23">
        <v>5</v>
      </c>
      <c r="E113" s="23">
        <v>5</v>
      </c>
      <c r="F113" s="23">
        <v>4</v>
      </c>
      <c r="G113" s="23">
        <v>3</v>
      </c>
      <c r="H113" s="39">
        <f t="shared" si="0"/>
        <v>4.4000000000000004</v>
      </c>
      <c r="I113" s="34"/>
      <c r="J113" s="34"/>
    </row>
    <row r="114" spans="2:10" x14ac:dyDescent="0.3">
      <c r="B114" s="31">
        <v>6</v>
      </c>
      <c r="C114" s="23">
        <v>3</v>
      </c>
      <c r="D114" s="23">
        <v>5</v>
      </c>
      <c r="E114" s="23">
        <v>3</v>
      </c>
      <c r="F114" s="23">
        <v>3</v>
      </c>
      <c r="G114" s="23">
        <v>4</v>
      </c>
      <c r="H114" s="39">
        <f t="shared" si="0"/>
        <v>3.6</v>
      </c>
      <c r="I114" s="34"/>
      <c r="J114" s="34"/>
    </row>
    <row r="115" spans="2:10" x14ac:dyDescent="0.3">
      <c r="B115" s="31">
        <v>7</v>
      </c>
      <c r="C115" s="23">
        <v>5</v>
      </c>
      <c r="D115" s="23">
        <v>4</v>
      </c>
      <c r="E115" s="23">
        <v>5</v>
      </c>
      <c r="F115" s="23">
        <v>5</v>
      </c>
      <c r="G115" s="23">
        <v>3</v>
      </c>
      <c r="H115" s="39">
        <f t="shared" si="0"/>
        <v>4.4000000000000004</v>
      </c>
      <c r="I115" s="34"/>
      <c r="J115" s="34"/>
    </row>
    <row r="116" spans="2:10" x14ac:dyDescent="0.3">
      <c r="B116" s="31">
        <v>8</v>
      </c>
      <c r="C116" s="23">
        <v>5</v>
      </c>
      <c r="D116" s="23">
        <v>3</v>
      </c>
      <c r="E116" s="23">
        <v>5</v>
      </c>
      <c r="F116" s="23">
        <v>4</v>
      </c>
      <c r="G116" s="23">
        <v>4</v>
      </c>
      <c r="H116" s="39">
        <f t="shared" si="0"/>
        <v>4.2</v>
      </c>
      <c r="I116" s="34"/>
      <c r="J116" s="34"/>
    </row>
    <row r="117" spans="2:10" x14ac:dyDescent="0.3">
      <c r="B117" s="31">
        <v>9</v>
      </c>
      <c r="C117" s="23">
        <v>1</v>
      </c>
      <c r="D117" s="23">
        <v>4</v>
      </c>
      <c r="E117" s="23">
        <v>3</v>
      </c>
      <c r="F117" s="23">
        <v>4</v>
      </c>
      <c r="G117" s="23">
        <v>3</v>
      </c>
      <c r="H117" s="39">
        <f t="shared" si="0"/>
        <v>3</v>
      </c>
      <c r="I117" s="34"/>
      <c r="J117" s="34"/>
    </row>
    <row r="118" spans="2:10" x14ac:dyDescent="0.3">
      <c r="B118" s="31">
        <v>10</v>
      </c>
      <c r="C118" s="23">
        <v>4</v>
      </c>
      <c r="D118" s="23">
        <v>2</v>
      </c>
      <c r="E118" s="23">
        <v>5</v>
      </c>
      <c r="F118" s="23">
        <v>5</v>
      </c>
      <c r="G118" s="23">
        <v>3</v>
      </c>
      <c r="H118" s="39">
        <f t="shared" si="0"/>
        <v>3.8</v>
      </c>
      <c r="I118" s="34"/>
      <c r="J118" s="34"/>
    </row>
  </sheetData>
  <mergeCells count="30">
    <mergeCell ref="B1:E1"/>
    <mergeCell ref="C2:E2"/>
    <mergeCell ref="C3:E3"/>
    <mergeCell ref="C4:E4"/>
    <mergeCell ref="C5:E5"/>
    <mergeCell ref="C6:E6"/>
    <mergeCell ref="C7:E7"/>
    <mergeCell ref="B10:E10"/>
    <mergeCell ref="C11:E11"/>
    <mergeCell ref="C12:E12"/>
    <mergeCell ref="C13:E13"/>
    <mergeCell ref="C14:E14"/>
    <mergeCell ref="C15:E15"/>
    <mergeCell ref="C16:E16"/>
    <mergeCell ref="C17:E17"/>
    <mergeCell ref="B19:D19"/>
    <mergeCell ref="B29:C29"/>
    <mergeCell ref="B42:E42"/>
    <mergeCell ref="C43:E43"/>
    <mergeCell ref="C44:E44"/>
    <mergeCell ref="C45:E45"/>
    <mergeCell ref="C46:E46"/>
    <mergeCell ref="C47:E47"/>
    <mergeCell ref="C48:E48"/>
    <mergeCell ref="C49:E49"/>
    <mergeCell ref="C50:E50"/>
    <mergeCell ref="B66:J66"/>
    <mergeCell ref="B93:J93"/>
    <mergeCell ref="B99:J99"/>
    <mergeCell ref="B106:H106"/>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K130"/>
  <sheetViews>
    <sheetView zoomScale="70" zoomScaleNormal="70" workbookViewId="0">
      <selection activeCell="B122" sqref="B122"/>
    </sheetView>
  </sheetViews>
  <sheetFormatPr defaultColWidth="8.88671875" defaultRowHeight="14.4" x14ac:dyDescent="0.3"/>
  <cols>
    <col min="1" max="9" width="8.88671875" style="13"/>
    <col min="10" max="10" width="8.6640625" style="13" customWidth="1"/>
    <col min="11" max="16384" width="8.88671875" style="13"/>
  </cols>
  <sheetData>
    <row r="1" spans="2:5" ht="14.25" customHeight="1" x14ac:dyDescent="0.3">
      <c r="B1" s="62" t="s">
        <v>130</v>
      </c>
      <c r="C1" s="62"/>
      <c r="D1" s="62"/>
      <c r="E1" s="62"/>
    </row>
    <row r="2" spans="2:5" ht="27" customHeight="1" x14ac:dyDescent="0.3">
      <c r="B2" s="16" t="s">
        <v>131</v>
      </c>
      <c r="C2" s="64" t="s">
        <v>47</v>
      </c>
      <c r="D2" s="64"/>
      <c r="E2" s="64"/>
    </row>
    <row r="3" spans="2:5" ht="27" customHeight="1" x14ac:dyDescent="0.3">
      <c r="B3" s="16" t="s">
        <v>132</v>
      </c>
      <c r="C3" s="64" t="s">
        <v>861</v>
      </c>
      <c r="D3" s="64"/>
      <c r="E3" s="64"/>
    </row>
    <row r="4" spans="2:5" ht="27" customHeight="1" x14ac:dyDescent="0.3">
      <c r="B4" s="16" t="s">
        <v>134</v>
      </c>
      <c r="C4" s="64" t="s">
        <v>862</v>
      </c>
      <c r="D4" s="64"/>
      <c r="E4" s="64"/>
    </row>
    <row r="5" spans="2:5" ht="27" customHeight="1" x14ac:dyDescent="0.3">
      <c r="B5" s="16" t="s">
        <v>136</v>
      </c>
      <c r="C5" s="64" t="s">
        <v>863</v>
      </c>
      <c r="D5" s="64"/>
      <c r="E5" s="64"/>
    </row>
    <row r="6" spans="2:5" ht="27" customHeight="1" x14ac:dyDescent="0.3">
      <c r="B6" s="16" t="s">
        <v>138</v>
      </c>
      <c r="C6" s="68" t="s">
        <v>139</v>
      </c>
      <c r="D6" s="68"/>
      <c r="E6" s="68"/>
    </row>
    <row r="7" spans="2:5" ht="46.2" customHeight="1" x14ac:dyDescent="0.3">
      <c r="B7" s="16" t="s">
        <v>140</v>
      </c>
      <c r="C7" s="64" t="s">
        <v>864</v>
      </c>
      <c r="D7" s="64"/>
      <c r="E7" s="64"/>
    </row>
    <row r="9" spans="2:5" ht="30.75" customHeight="1" x14ac:dyDescent="0.3">
      <c r="B9" s="17" t="s">
        <v>142</v>
      </c>
      <c r="C9" s="14"/>
      <c r="D9" s="14"/>
      <c r="E9" s="14"/>
    </row>
    <row r="10" spans="2:5" ht="14.25" customHeight="1" x14ac:dyDescent="0.3">
      <c r="B10" s="60" t="s">
        <v>143</v>
      </c>
      <c r="C10" s="60"/>
      <c r="D10" s="60"/>
      <c r="E10" s="60"/>
    </row>
    <row r="11" spans="2:5" ht="54.75" customHeight="1" x14ac:dyDescent="0.3">
      <c r="B11" s="31" t="s">
        <v>865</v>
      </c>
      <c r="C11" s="63" t="s">
        <v>866</v>
      </c>
      <c r="D11" s="63"/>
      <c r="E11" s="63"/>
    </row>
    <row r="12" spans="2:5" ht="54.75" customHeight="1" x14ac:dyDescent="0.3">
      <c r="B12" s="31" t="s">
        <v>867</v>
      </c>
      <c r="C12" s="63" t="s">
        <v>868</v>
      </c>
      <c r="D12" s="63"/>
      <c r="E12" s="63"/>
    </row>
    <row r="13" spans="2:5" ht="69" customHeight="1" x14ac:dyDescent="0.3">
      <c r="B13" s="31" t="s">
        <v>869</v>
      </c>
      <c r="C13" s="63" t="s">
        <v>870</v>
      </c>
      <c r="D13" s="63"/>
      <c r="E13" s="63"/>
    </row>
    <row r="14" spans="2:5" ht="82.5" customHeight="1" x14ac:dyDescent="0.3">
      <c r="B14" s="31" t="s">
        <v>871</v>
      </c>
      <c r="C14" s="63" t="s">
        <v>872</v>
      </c>
      <c r="D14" s="63"/>
      <c r="E14" s="63"/>
    </row>
    <row r="15" spans="2:5" ht="69" customHeight="1" x14ac:dyDescent="0.3">
      <c r="B15" s="31" t="s">
        <v>873</v>
      </c>
      <c r="C15" s="63" t="s">
        <v>874</v>
      </c>
      <c r="D15" s="63"/>
      <c r="E15" s="63"/>
    </row>
    <row r="16" spans="2:5" ht="69" customHeight="1" x14ac:dyDescent="0.3">
      <c r="B16" s="31" t="s">
        <v>875</v>
      </c>
      <c r="C16" s="63" t="s">
        <v>876</v>
      </c>
      <c r="D16" s="63"/>
      <c r="E16" s="63"/>
    </row>
    <row r="17" spans="2:5" ht="69" customHeight="1" x14ac:dyDescent="0.3">
      <c r="B17" s="31" t="s">
        <v>877</v>
      </c>
      <c r="C17" s="63" t="s">
        <v>878</v>
      </c>
      <c r="D17" s="63"/>
      <c r="E17" s="63"/>
    </row>
    <row r="19" spans="2:5" ht="14.25" customHeight="1" x14ac:dyDescent="0.3">
      <c r="B19" s="60" t="s">
        <v>152</v>
      </c>
      <c r="C19" s="60"/>
      <c r="D19" s="60"/>
    </row>
    <row r="20" spans="2:5" x14ac:dyDescent="0.3">
      <c r="B20" s="22" t="s">
        <v>153</v>
      </c>
      <c r="C20" s="22" t="s">
        <v>154</v>
      </c>
      <c r="D20" s="22" t="s">
        <v>155</v>
      </c>
    </row>
    <row r="21" spans="2:5" ht="96" customHeight="1" x14ac:dyDescent="0.3">
      <c r="B21" s="23">
        <v>1</v>
      </c>
      <c r="C21" s="3" t="s">
        <v>879</v>
      </c>
      <c r="D21" s="23" t="s">
        <v>880</v>
      </c>
    </row>
    <row r="22" spans="2:5" ht="110.25" customHeight="1" x14ac:dyDescent="0.3">
      <c r="B22" s="23">
        <v>2</v>
      </c>
      <c r="C22" s="3" t="s">
        <v>881</v>
      </c>
      <c r="D22" s="23" t="s">
        <v>882</v>
      </c>
    </row>
    <row r="23" spans="2:5" ht="110.25" customHeight="1" x14ac:dyDescent="0.3">
      <c r="B23" s="23">
        <v>3</v>
      </c>
      <c r="C23" s="3" t="s">
        <v>883</v>
      </c>
      <c r="D23" s="23" t="s">
        <v>884</v>
      </c>
    </row>
    <row r="24" spans="2:5" ht="123.75" customHeight="1" x14ac:dyDescent="0.3">
      <c r="B24" s="23">
        <v>4</v>
      </c>
      <c r="C24" s="3" t="s">
        <v>885</v>
      </c>
      <c r="D24" s="23" t="s">
        <v>884</v>
      </c>
    </row>
    <row r="25" spans="2:5" ht="96" customHeight="1" x14ac:dyDescent="0.3">
      <c r="B25" s="23">
        <v>5</v>
      </c>
      <c r="C25" s="3" t="s">
        <v>886</v>
      </c>
      <c r="D25" s="23" t="s">
        <v>887</v>
      </c>
    </row>
    <row r="26" spans="2:5" ht="110.25" customHeight="1" x14ac:dyDescent="0.3">
      <c r="B26" s="23">
        <v>6</v>
      </c>
      <c r="C26" s="3" t="s">
        <v>888</v>
      </c>
      <c r="D26" s="23" t="s">
        <v>889</v>
      </c>
    </row>
    <row r="27" spans="2:5" ht="123.75" customHeight="1" x14ac:dyDescent="0.3">
      <c r="B27" s="23">
        <v>7</v>
      </c>
      <c r="C27" s="3" t="s">
        <v>890</v>
      </c>
      <c r="D27" s="23" t="s">
        <v>891</v>
      </c>
    </row>
    <row r="28" spans="2:5" ht="110.25" customHeight="1" x14ac:dyDescent="0.3">
      <c r="B28" s="23">
        <v>8</v>
      </c>
      <c r="C28" s="3" t="s">
        <v>892</v>
      </c>
      <c r="D28" s="23" t="s">
        <v>893</v>
      </c>
    </row>
    <row r="30" spans="2:5" ht="14.25" customHeight="1" x14ac:dyDescent="0.3">
      <c r="B30" s="60" t="s">
        <v>164</v>
      </c>
      <c r="C30" s="60"/>
      <c r="D30" s="18"/>
      <c r="E30" s="18"/>
    </row>
    <row r="31" spans="2:5" x14ac:dyDescent="0.3">
      <c r="B31" s="22" t="s">
        <v>165</v>
      </c>
      <c r="C31" s="22" t="s">
        <v>166</v>
      </c>
    </row>
    <row r="32" spans="2:5" ht="96" customHeight="1" x14ac:dyDescent="0.3">
      <c r="B32" s="16" t="s">
        <v>894</v>
      </c>
      <c r="C32" s="25" t="s">
        <v>895</v>
      </c>
    </row>
    <row r="33" spans="2:3" ht="138" customHeight="1" x14ac:dyDescent="0.3">
      <c r="B33" s="16" t="s">
        <v>896</v>
      </c>
      <c r="C33" s="25" t="s">
        <v>897</v>
      </c>
    </row>
    <row r="34" spans="2:3" ht="96" customHeight="1" x14ac:dyDescent="0.3">
      <c r="B34" s="16" t="s">
        <v>898</v>
      </c>
      <c r="C34" s="25" t="s">
        <v>899</v>
      </c>
    </row>
    <row r="35" spans="2:3" ht="138" customHeight="1" x14ac:dyDescent="0.3">
      <c r="B35" s="16" t="s">
        <v>900</v>
      </c>
      <c r="C35" s="25" t="s">
        <v>901</v>
      </c>
    </row>
    <row r="36" spans="2:3" ht="96" customHeight="1" x14ac:dyDescent="0.3">
      <c r="B36" s="16" t="s">
        <v>902</v>
      </c>
      <c r="C36" s="25" t="s">
        <v>903</v>
      </c>
    </row>
    <row r="37" spans="2:3" ht="54.75" customHeight="1" x14ac:dyDescent="0.3">
      <c r="B37" s="16" t="s">
        <v>904</v>
      </c>
      <c r="C37" s="25" t="s">
        <v>905</v>
      </c>
    </row>
    <row r="38" spans="2:3" ht="276" customHeight="1" x14ac:dyDescent="0.3">
      <c r="B38" s="16" t="s">
        <v>906</v>
      </c>
      <c r="C38" s="24" t="s">
        <v>907</v>
      </c>
    </row>
    <row r="39" spans="2:3" ht="110.25" customHeight="1" x14ac:dyDescent="0.3">
      <c r="B39" s="16" t="s">
        <v>167</v>
      </c>
      <c r="C39" s="25" t="s">
        <v>908</v>
      </c>
    </row>
    <row r="40" spans="2:3" ht="69" customHeight="1" x14ac:dyDescent="0.3">
      <c r="B40" s="16" t="s">
        <v>169</v>
      </c>
      <c r="C40" s="25" t="s">
        <v>909</v>
      </c>
    </row>
    <row r="41" spans="2:3" ht="69" customHeight="1" x14ac:dyDescent="0.3">
      <c r="B41" s="16" t="s">
        <v>171</v>
      </c>
      <c r="C41" s="25" t="s">
        <v>910</v>
      </c>
    </row>
    <row r="42" spans="2:3" ht="54.75" customHeight="1" x14ac:dyDescent="0.3">
      <c r="B42" s="16" t="s">
        <v>173</v>
      </c>
      <c r="C42" s="25" t="s">
        <v>911</v>
      </c>
    </row>
    <row r="43" spans="2:3" ht="69" customHeight="1" x14ac:dyDescent="0.3">
      <c r="B43" s="16" t="s">
        <v>175</v>
      </c>
      <c r="C43" s="25" t="s">
        <v>912</v>
      </c>
    </row>
    <row r="44" spans="2:3" ht="96" customHeight="1" x14ac:dyDescent="0.3">
      <c r="B44" s="16" t="s">
        <v>177</v>
      </c>
      <c r="C44" s="25" t="s">
        <v>913</v>
      </c>
    </row>
    <row r="45" spans="2:3" ht="41.25" customHeight="1" x14ac:dyDescent="0.3">
      <c r="B45" s="16" t="s">
        <v>179</v>
      </c>
      <c r="C45" s="25" t="s">
        <v>914</v>
      </c>
    </row>
    <row r="46" spans="2:3" ht="96" customHeight="1" x14ac:dyDescent="0.3">
      <c r="B46" s="16" t="s">
        <v>181</v>
      </c>
      <c r="C46" s="25" t="s">
        <v>915</v>
      </c>
    </row>
    <row r="47" spans="2:3" ht="96" customHeight="1" x14ac:dyDescent="0.3">
      <c r="B47" s="16" t="s">
        <v>183</v>
      </c>
      <c r="C47" s="25" t="s">
        <v>916</v>
      </c>
    </row>
    <row r="49" spans="2:11" ht="46.5" customHeight="1" x14ac:dyDescent="0.3">
      <c r="B49" s="17" t="s">
        <v>185</v>
      </c>
      <c r="C49" s="14"/>
      <c r="D49" s="14"/>
      <c r="E49" s="14"/>
    </row>
    <row r="50" spans="2:11" ht="14.25" customHeight="1" x14ac:dyDescent="0.3">
      <c r="B50" s="62" t="s">
        <v>186</v>
      </c>
      <c r="C50" s="62"/>
      <c r="D50" s="62"/>
      <c r="E50" s="62"/>
    </row>
    <row r="51" spans="2:11" ht="27" customHeight="1" x14ac:dyDescent="0.3">
      <c r="B51" s="25" t="s">
        <v>187</v>
      </c>
      <c r="C51" s="63" t="s">
        <v>917</v>
      </c>
      <c r="D51" s="63"/>
      <c r="E51" s="63"/>
    </row>
    <row r="52" spans="2:11" ht="41.25" customHeight="1" x14ac:dyDescent="0.3">
      <c r="B52" s="25" t="s">
        <v>189</v>
      </c>
      <c r="C52" s="64" t="s">
        <v>918</v>
      </c>
      <c r="D52" s="64"/>
      <c r="E52" s="64"/>
    </row>
    <row r="53" spans="2:11" ht="27" customHeight="1" x14ac:dyDescent="0.3">
      <c r="B53" s="25" t="s">
        <v>191</v>
      </c>
      <c r="C53" s="64" t="s">
        <v>919</v>
      </c>
      <c r="D53" s="64"/>
      <c r="E53" s="64"/>
    </row>
    <row r="54" spans="2:11" ht="41.25" customHeight="1" x14ac:dyDescent="0.3">
      <c r="B54" s="25" t="s">
        <v>193</v>
      </c>
      <c r="C54" s="64" t="s">
        <v>920</v>
      </c>
      <c r="D54" s="64"/>
      <c r="E54" s="64"/>
    </row>
    <row r="56" spans="2:11" ht="30.75" customHeight="1" x14ac:dyDescent="0.3">
      <c r="B56" s="17" t="s">
        <v>382</v>
      </c>
      <c r="C56" s="14"/>
      <c r="D56" s="14"/>
      <c r="E56" s="14"/>
    </row>
    <row r="57" spans="2:11" ht="14.25" customHeight="1" x14ac:dyDescent="0.3">
      <c r="B57" s="62" t="s">
        <v>383</v>
      </c>
      <c r="C57" s="62"/>
      <c r="D57" s="62"/>
      <c r="E57" s="62"/>
    </row>
    <row r="58" spans="2:11" ht="41.25" customHeight="1" x14ac:dyDescent="0.3">
      <c r="B58" s="25" t="s">
        <v>384</v>
      </c>
      <c r="C58" s="63" t="s">
        <v>921</v>
      </c>
      <c r="D58" s="63"/>
      <c r="E58" s="63"/>
    </row>
    <row r="59" spans="2:11" ht="27" customHeight="1" x14ac:dyDescent="0.3">
      <c r="B59" s="25" t="s">
        <v>386</v>
      </c>
      <c r="C59" s="63" t="s">
        <v>922</v>
      </c>
      <c r="D59" s="63"/>
      <c r="E59" s="63"/>
    </row>
    <row r="60" spans="2:11" ht="123.75" customHeight="1" x14ac:dyDescent="0.3">
      <c r="B60" s="25" t="s">
        <v>388</v>
      </c>
      <c r="C60" s="64" t="s">
        <v>923</v>
      </c>
      <c r="D60" s="64"/>
      <c r="E60" s="64"/>
    </row>
    <row r="61" spans="2:11" ht="41.25" customHeight="1" x14ac:dyDescent="0.3">
      <c r="B61" s="25" t="s">
        <v>390</v>
      </c>
      <c r="C61" s="64" t="s">
        <v>924</v>
      </c>
      <c r="D61" s="64"/>
      <c r="E61" s="64"/>
    </row>
    <row r="62" spans="2:11" ht="96" customHeight="1" x14ac:dyDescent="0.3">
      <c r="B62" s="25" t="s">
        <v>392</v>
      </c>
      <c r="C62" s="64" t="s">
        <v>925</v>
      </c>
      <c r="D62" s="64"/>
      <c r="E62" s="64"/>
    </row>
    <row r="64" spans="2:11" ht="78" customHeight="1" x14ac:dyDescent="0.3">
      <c r="B64" s="17" t="s">
        <v>195</v>
      </c>
      <c r="C64" s="14"/>
      <c r="D64" s="14"/>
      <c r="E64" s="14"/>
      <c r="F64" s="14"/>
      <c r="G64" s="14"/>
      <c r="H64" s="14"/>
      <c r="I64" s="14"/>
      <c r="J64" s="14"/>
      <c r="K64" s="15"/>
    </row>
    <row r="65" spans="2:11" ht="27" customHeight="1" x14ac:dyDescent="0.3">
      <c r="B65" s="26" t="s">
        <v>196</v>
      </c>
      <c r="C65" s="26" t="s">
        <v>197</v>
      </c>
      <c r="D65" s="26">
        <v>2</v>
      </c>
      <c r="E65" s="26">
        <v>3</v>
      </c>
      <c r="F65" s="26">
        <v>4</v>
      </c>
      <c r="G65" s="26">
        <v>5</v>
      </c>
      <c r="H65" s="26">
        <v>6</v>
      </c>
      <c r="I65" s="26">
        <v>7</v>
      </c>
      <c r="J65" s="26">
        <v>8</v>
      </c>
      <c r="K65" s="26">
        <v>9</v>
      </c>
    </row>
    <row r="66" spans="2:11" ht="82.5" customHeight="1" x14ac:dyDescent="0.3">
      <c r="B66" s="27" t="s">
        <v>130</v>
      </c>
      <c r="C66" s="27" t="s">
        <v>926</v>
      </c>
      <c r="D66" s="27" t="s">
        <v>927</v>
      </c>
      <c r="E66" s="27" t="s">
        <v>928</v>
      </c>
      <c r="F66" s="27" t="s">
        <v>929</v>
      </c>
      <c r="G66" s="27" t="s">
        <v>930</v>
      </c>
      <c r="H66" s="27" t="s">
        <v>931</v>
      </c>
      <c r="I66" s="27" t="s">
        <v>932</v>
      </c>
      <c r="J66" s="27" t="s">
        <v>933</v>
      </c>
      <c r="K66" s="27" t="s">
        <v>934</v>
      </c>
    </row>
    <row r="67" spans="2:11" ht="165" customHeight="1" x14ac:dyDescent="0.3">
      <c r="B67" s="16" t="s">
        <v>208</v>
      </c>
      <c r="C67" s="3" t="s">
        <v>935</v>
      </c>
      <c r="D67" s="3" t="s">
        <v>936</v>
      </c>
      <c r="E67" s="3" t="s">
        <v>937</v>
      </c>
      <c r="F67" s="3" t="s">
        <v>938</v>
      </c>
      <c r="G67" s="3" t="s">
        <v>939</v>
      </c>
      <c r="H67" s="3" t="s">
        <v>940</v>
      </c>
      <c r="I67" s="3" t="s">
        <v>941</v>
      </c>
      <c r="J67" s="3" t="s">
        <v>942</v>
      </c>
      <c r="K67" s="3" t="s">
        <v>943</v>
      </c>
    </row>
    <row r="68" spans="2:11" ht="82.5" customHeight="1" x14ac:dyDescent="0.3">
      <c r="B68" s="16" t="s">
        <v>167</v>
      </c>
      <c r="C68" s="23" t="s">
        <v>277</v>
      </c>
      <c r="D68" s="23" t="s">
        <v>944</v>
      </c>
      <c r="E68" s="23" t="s">
        <v>945</v>
      </c>
      <c r="F68" s="23" t="s">
        <v>946</v>
      </c>
      <c r="G68" s="23" t="s">
        <v>947</v>
      </c>
      <c r="H68" s="23" t="s">
        <v>948</v>
      </c>
      <c r="I68" s="23" t="s">
        <v>949</v>
      </c>
      <c r="J68" s="23" t="s">
        <v>950</v>
      </c>
      <c r="K68" s="23" t="s">
        <v>951</v>
      </c>
    </row>
    <row r="69" spans="2:11" ht="41.25" customHeight="1" x14ac:dyDescent="0.3">
      <c r="B69" s="16" t="s">
        <v>169</v>
      </c>
      <c r="C69" s="23" t="s">
        <v>278</v>
      </c>
      <c r="D69" s="3" t="s">
        <v>952</v>
      </c>
      <c r="E69" s="3" t="s">
        <v>953</v>
      </c>
      <c r="F69" s="23" t="s">
        <v>221</v>
      </c>
      <c r="G69" s="23" t="s">
        <v>278</v>
      </c>
      <c r="H69" s="23" t="s">
        <v>954</v>
      </c>
      <c r="I69" s="23" t="s">
        <v>955</v>
      </c>
      <c r="J69" s="23" t="s">
        <v>229</v>
      </c>
      <c r="K69" s="23" t="s">
        <v>954</v>
      </c>
    </row>
    <row r="70" spans="2:11" ht="41.25" customHeight="1" x14ac:dyDescent="0.3">
      <c r="B70" s="16" t="s">
        <v>231</v>
      </c>
      <c r="C70" s="23" t="s">
        <v>232</v>
      </c>
      <c r="D70" s="23" t="s">
        <v>219</v>
      </c>
      <c r="E70" s="23" t="s">
        <v>956</v>
      </c>
      <c r="F70" s="23" t="s">
        <v>232</v>
      </c>
      <c r="G70" s="23" t="s">
        <v>232</v>
      </c>
      <c r="H70" s="23" t="s">
        <v>232</v>
      </c>
      <c r="I70" s="23" t="s">
        <v>256</v>
      </c>
      <c r="J70" s="47" t="s">
        <v>957</v>
      </c>
      <c r="K70" s="47" t="s">
        <v>958</v>
      </c>
    </row>
    <row r="71" spans="2:11" ht="41.25" customHeight="1" x14ac:dyDescent="0.3">
      <c r="B71" s="16" t="s">
        <v>177</v>
      </c>
      <c r="C71" s="23" t="s">
        <v>794</v>
      </c>
      <c r="D71" s="23" t="s">
        <v>959</v>
      </c>
      <c r="E71" s="23" t="s">
        <v>959</v>
      </c>
      <c r="F71" s="23" t="s">
        <v>959</v>
      </c>
      <c r="G71" s="3" t="s">
        <v>960</v>
      </c>
      <c r="H71" s="3" t="s">
        <v>961</v>
      </c>
      <c r="I71" s="3" t="s">
        <v>962</v>
      </c>
      <c r="J71" s="23" t="s">
        <v>963</v>
      </c>
      <c r="K71" s="23" t="s">
        <v>964</v>
      </c>
    </row>
    <row r="72" spans="2:11" x14ac:dyDescent="0.3">
      <c r="B72" s="16" t="s">
        <v>179</v>
      </c>
      <c r="C72" s="23" t="s">
        <v>965</v>
      </c>
      <c r="D72" s="23" t="s">
        <v>223</v>
      </c>
      <c r="E72" s="23" t="s">
        <v>223</v>
      </c>
      <c r="F72" s="23" t="s">
        <v>223</v>
      </c>
      <c r="G72" s="23" t="s">
        <v>223</v>
      </c>
      <c r="H72" s="23" t="s">
        <v>223</v>
      </c>
      <c r="I72" s="23" t="s">
        <v>223</v>
      </c>
      <c r="J72" s="23" t="s">
        <v>223</v>
      </c>
      <c r="K72" s="23" t="s">
        <v>223</v>
      </c>
    </row>
    <row r="73" spans="2:11" ht="41.25" customHeight="1" x14ac:dyDescent="0.3">
      <c r="B73" s="16" t="s">
        <v>238</v>
      </c>
      <c r="C73" s="23" t="s">
        <v>965</v>
      </c>
      <c r="D73" s="23" t="s">
        <v>223</v>
      </c>
      <c r="E73" s="23" t="s">
        <v>223</v>
      </c>
      <c r="F73" s="23" t="s">
        <v>223</v>
      </c>
      <c r="G73" s="23" t="s">
        <v>223</v>
      </c>
      <c r="H73" s="23" t="s">
        <v>223</v>
      </c>
      <c r="I73" s="23" t="s">
        <v>223</v>
      </c>
      <c r="J73" s="23" t="s">
        <v>223</v>
      </c>
      <c r="K73" s="23" t="s">
        <v>223</v>
      </c>
    </row>
    <row r="74" spans="2:11" ht="27" customHeight="1" x14ac:dyDescent="0.3">
      <c r="B74" s="16" t="s">
        <v>181</v>
      </c>
      <c r="C74" s="23" t="s">
        <v>228</v>
      </c>
      <c r="D74" s="23" t="s">
        <v>232</v>
      </c>
      <c r="E74" s="23" t="s">
        <v>232</v>
      </c>
      <c r="F74" s="23" t="s">
        <v>232</v>
      </c>
      <c r="G74" s="23" t="s">
        <v>232</v>
      </c>
      <c r="H74" s="23" t="s">
        <v>232</v>
      </c>
      <c r="I74" s="23" t="s">
        <v>232</v>
      </c>
      <c r="J74" s="23" t="s">
        <v>966</v>
      </c>
      <c r="K74" s="23" t="s">
        <v>450</v>
      </c>
    </row>
    <row r="75" spans="2:11" ht="27" customHeight="1" x14ac:dyDescent="0.3">
      <c r="B75" s="16" t="s">
        <v>183</v>
      </c>
      <c r="C75" s="23" t="s">
        <v>228</v>
      </c>
      <c r="D75" s="23" t="s">
        <v>228</v>
      </c>
      <c r="E75" s="23" t="s">
        <v>967</v>
      </c>
      <c r="F75" s="23" t="s">
        <v>228</v>
      </c>
      <c r="G75" s="23" t="s">
        <v>228</v>
      </c>
      <c r="H75" s="23" t="s">
        <v>228</v>
      </c>
      <c r="I75" s="23" t="s">
        <v>228</v>
      </c>
      <c r="J75" s="23" t="s">
        <v>966</v>
      </c>
      <c r="K75" s="23" t="s">
        <v>232</v>
      </c>
    </row>
    <row r="76" spans="2:11" ht="151.5" customHeight="1" x14ac:dyDescent="0.3">
      <c r="B76" s="16" t="s">
        <v>243</v>
      </c>
      <c r="C76" s="3" t="s">
        <v>968</v>
      </c>
      <c r="D76" s="3" t="s">
        <v>969</v>
      </c>
      <c r="E76" s="3" t="s">
        <v>970</v>
      </c>
      <c r="F76" s="3" t="s">
        <v>971</v>
      </c>
      <c r="G76" s="3" t="s">
        <v>972</v>
      </c>
      <c r="H76" s="3" t="s">
        <v>973</v>
      </c>
      <c r="I76" s="3" t="s">
        <v>974</v>
      </c>
      <c r="J76" s="3" t="s">
        <v>975</v>
      </c>
      <c r="K76" s="3" t="s">
        <v>976</v>
      </c>
    </row>
    <row r="77" spans="2:11" x14ac:dyDescent="0.3">
      <c r="B77" s="18"/>
      <c r="C77" s="9"/>
      <c r="D77" s="9"/>
      <c r="E77" s="9"/>
      <c r="F77" s="9"/>
      <c r="G77" s="9"/>
      <c r="H77" s="9"/>
      <c r="I77" s="9"/>
      <c r="J77" s="9"/>
      <c r="K77" s="9"/>
    </row>
    <row r="78" spans="2:11" ht="14.25" customHeight="1" x14ac:dyDescent="0.3">
      <c r="B78" s="60" t="s">
        <v>254</v>
      </c>
      <c r="C78" s="60"/>
      <c r="D78" s="60"/>
      <c r="E78" s="60"/>
      <c r="F78" s="60"/>
      <c r="G78" s="60"/>
      <c r="H78" s="60"/>
      <c r="I78" s="60"/>
      <c r="J78" s="60"/>
    </row>
    <row r="79" spans="2:11" ht="41.25" customHeight="1" x14ac:dyDescent="0.3">
      <c r="B79" s="22" t="s">
        <v>255</v>
      </c>
      <c r="C79" s="22" t="s">
        <v>167</v>
      </c>
      <c r="D79" s="22" t="s">
        <v>169</v>
      </c>
      <c r="E79" s="22" t="s">
        <v>171</v>
      </c>
      <c r="F79" s="22" t="s">
        <v>177</v>
      </c>
      <c r="G79" s="22" t="s">
        <v>179</v>
      </c>
      <c r="H79" s="22" t="s">
        <v>175</v>
      </c>
      <c r="I79" s="22" t="s">
        <v>181</v>
      </c>
      <c r="J79" s="22" t="s">
        <v>183</v>
      </c>
    </row>
    <row r="80" spans="2:11" x14ac:dyDescent="0.3">
      <c r="B80" s="31">
        <v>1</v>
      </c>
      <c r="C80" s="23" t="s">
        <v>277</v>
      </c>
      <c r="D80" s="23" t="s">
        <v>278</v>
      </c>
      <c r="E80" s="23" t="s">
        <v>232</v>
      </c>
      <c r="F80" s="23" t="s">
        <v>233</v>
      </c>
      <c r="G80" s="23" t="s">
        <v>965</v>
      </c>
      <c r="H80" s="23" t="s">
        <v>965</v>
      </c>
      <c r="I80" s="23" t="s">
        <v>228</v>
      </c>
      <c r="J80" s="23" t="s">
        <v>228</v>
      </c>
    </row>
    <row r="81" spans="2:10" ht="27" customHeight="1" x14ac:dyDescent="0.3">
      <c r="B81" s="31">
        <v>2</v>
      </c>
      <c r="C81" s="23" t="s">
        <v>221</v>
      </c>
      <c r="D81" s="23" t="s">
        <v>977</v>
      </c>
      <c r="E81" s="23" t="s">
        <v>219</v>
      </c>
      <c r="F81" s="23" t="s">
        <v>978</v>
      </c>
      <c r="G81" s="23" t="s">
        <v>223</v>
      </c>
      <c r="H81" s="23" t="s">
        <v>223</v>
      </c>
      <c r="I81" s="23" t="s">
        <v>232</v>
      </c>
      <c r="J81" s="23" t="s">
        <v>228</v>
      </c>
    </row>
    <row r="82" spans="2:10" ht="27" customHeight="1" x14ac:dyDescent="0.3">
      <c r="B82" s="31">
        <v>3</v>
      </c>
      <c r="C82" s="23" t="s">
        <v>258</v>
      </c>
      <c r="D82" s="23" t="s">
        <v>229</v>
      </c>
      <c r="E82" s="23" t="s">
        <v>256</v>
      </c>
      <c r="F82" s="23" t="s">
        <v>978</v>
      </c>
      <c r="G82" s="23" t="s">
        <v>223</v>
      </c>
      <c r="H82" s="23" t="s">
        <v>223</v>
      </c>
      <c r="I82" s="23" t="s">
        <v>232</v>
      </c>
      <c r="J82" s="23" t="s">
        <v>228</v>
      </c>
    </row>
    <row r="83" spans="2:10" ht="27" customHeight="1" x14ac:dyDescent="0.3">
      <c r="B83" s="31">
        <v>4</v>
      </c>
      <c r="C83" s="23" t="s">
        <v>258</v>
      </c>
      <c r="D83" s="23" t="s">
        <v>221</v>
      </c>
      <c r="E83" s="23" t="s">
        <v>232</v>
      </c>
      <c r="F83" s="23" t="s">
        <v>978</v>
      </c>
      <c r="G83" s="23" t="s">
        <v>223</v>
      </c>
      <c r="H83" s="23" t="s">
        <v>223</v>
      </c>
      <c r="I83" s="23" t="s">
        <v>232</v>
      </c>
      <c r="J83" s="23" t="s">
        <v>228</v>
      </c>
    </row>
    <row r="84" spans="2:10" x14ac:dyDescent="0.3">
      <c r="B84" s="31">
        <v>5</v>
      </c>
      <c r="C84" s="23" t="s">
        <v>219</v>
      </c>
      <c r="D84" s="23" t="s">
        <v>278</v>
      </c>
      <c r="E84" s="23" t="s">
        <v>232</v>
      </c>
      <c r="F84" s="23" t="s">
        <v>233</v>
      </c>
      <c r="G84" s="23" t="s">
        <v>223</v>
      </c>
      <c r="H84" s="23" t="s">
        <v>223</v>
      </c>
      <c r="I84" s="23" t="s">
        <v>232</v>
      </c>
      <c r="J84" s="23" t="s">
        <v>228</v>
      </c>
    </row>
    <row r="85" spans="2:10" ht="27" customHeight="1" x14ac:dyDescent="0.3">
      <c r="B85" s="31">
        <v>6</v>
      </c>
      <c r="C85" s="23" t="s">
        <v>219</v>
      </c>
      <c r="D85" s="23" t="s">
        <v>954</v>
      </c>
      <c r="E85" s="23" t="s">
        <v>232</v>
      </c>
      <c r="F85" s="23" t="s">
        <v>979</v>
      </c>
      <c r="G85" s="23" t="s">
        <v>223</v>
      </c>
      <c r="H85" s="23" t="s">
        <v>223</v>
      </c>
      <c r="I85" s="23" t="s">
        <v>232</v>
      </c>
      <c r="J85" s="23" t="s">
        <v>228</v>
      </c>
    </row>
    <row r="86" spans="2:10" x14ac:dyDescent="0.3">
      <c r="B86" s="31">
        <v>7</v>
      </c>
      <c r="C86" s="23" t="s">
        <v>224</v>
      </c>
      <c r="D86" s="23" t="s">
        <v>955</v>
      </c>
      <c r="E86" s="23" t="s">
        <v>256</v>
      </c>
      <c r="F86" s="23" t="s">
        <v>233</v>
      </c>
      <c r="G86" s="23" t="s">
        <v>223</v>
      </c>
      <c r="H86" s="23" t="s">
        <v>223</v>
      </c>
      <c r="I86" s="23" t="s">
        <v>232</v>
      </c>
      <c r="J86" s="23" t="s">
        <v>228</v>
      </c>
    </row>
    <row r="87" spans="2:10" ht="27" customHeight="1" x14ac:dyDescent="0.3">
      <c r="B87" s="31">
        <v>8</v>
      </c>
      <c r="C87" s="23" t="s">
        <v>224</v>
      </c>
      <c r="D87" s="23" t="s">
        <v>229</v>
      </c>
      <c r="E87" s="23" t="s">
        <v>223</v>
      </c>
      <c r="F87" s="23" t="s">
        <v>980</v>
      </c>
      <c r="G87" s="23" t="s">
        <v>223</v>
      </c>
      <c r="H87" s="23" t="s">
        <v>223</v>
      </c>
      <c r="I87" s="23" t="s">
        <v>966</v>
      </c>
      <c r="J87" s="23" t="s">
        <v>228</v>
      </c>
    </row>
    <row r="88" spans="2:10" ht="27" customHeight="1" x14ac:dyDescent="0.3">
      <c r="B88" s="31">
        <v>9</v>
      </c>
      <c r="C88" s="23" t="s">
        <v>221</v>
      </c>
      <c r="D88" s="23" t="s">
        <v>954</v>
      </c>
      <c r="E88" s="23" t="s">
        <v>256</v>
      </c>
      <c r="F88" s="23" t="s">
        <v>981</v>
      </c>
      <c r="G88" s="23" t="s">
        <v>223</v>
      </c>
      <c r="H88" s="23" t="s">
        <v>223</v>
      </c>
      <c r="I88" s="23" t="s">
        <v>450</v>
      </c>
      <c r="J88" s="23" t="s">
        <v>228</v>
      </c>
    </row>
    <row r="90" spans="2:10" ht="62.25" customHeight="1" x14ac:dyDescent="0.3">
      <c r="B90" s="17" t="s">
        <v>264</v>
      </c>
      <c r="C90" s="14"/>
      <c r="D90" s="14"/>
      <c r="E90" s="14"/>
      <c r="F90" s="14"/>
      <c r="G90" s="14"/>
      <c r="H90" s="14"/>
      <c r="I90" s="14"/>
    </row>
    <row r="91" spans="2:10" ht="27" customHeight="1" x14ac:dyDescent="0.3">
      <c r="B91" s="26" t="s">
        <v>196</v>
      </c>
      <c r="C91" s="26" t="s">
        <v>982</v>
      </c>
      <c r="D91" s="26" t="s">
        <v>689</v>
      </c>
      <c r="E91" s="26" t="s">
        <v>690</v>
      </c>
      <c r="F91" s="26" t="s">
        <v>691</v>
      </c>
      <c r="G91" s="26" t="s">
        <v>692</v>
      </c>
      <c r="H91" s="26" t="s">
        <v>983</v>
      </c>
      <c r="I91" s="26" t="s">
        <v>984</v>
      </c>
    </row>
    <row r="92" spans="2:10" ht="123.75" customHeight="1" x14ac:dyDescent="0.3">
      <c r="B92" s="27" t="s">
        <v>130</v>
      </c>
      <c r="C92" s="27" t="s">
        <v>985</v>
      </c>
      <c r="D92" s="27" t="s">
        <v>986</v>
      </c>
      <c r="E92" s="27" t="s">
        <v>987</v>
      </c>
      <c r="F92" s="27" t="s">
        <v>988</v>
      </c>
      <c r="G92" s="27" t="s">
        <v>989</v>
      </c>
      <c r="H92" s="27" t="s">
        <v>990</v>
      </c>
      <c r="I92" s="27" t="s">
        <v>991</v>
      </c>
    </row>
    <row r="93" spans="2:10" ht="288" customHeight="1" x14ac:dyDescent="0.3">
      <c r="B93" s="16" t="s">
        <v>208</v>
      </c>
      <c r="C93" s="35" t="s">
        <v>992</v>
      </c>
      <c r="D93" s="35" t="s">
        <v>993</v>
      </c>
      <c r="E93" s="35" t="s">
        <v>994</v>
      </c>
      <c r="F93" s="35" t="s">
        <v>995</v>
      </c>
      <c r="G93" s="35" t="s">
        <v>996</v>
      </c>
      <c r="H93" s="35" t="s">
        <v>997</v>
      </c>
      <c r="I93" s="35" t="s">
        <v>998</v>
      </c>
    </row>
    <row r="94" spans="2:10" x14ac:dyDescent="0.3">
      <c r="B94" s="16" t="s">
        <v>167</v>
      </c>
      <c r="C94" s="35" t="s">
        <v>223</v>
      </c>
      <c r="D94" s="35" t="s">
        <v>221</v>
      </c>
      <c r="E94" s="35" t="s">
        <v>224</v>
      </c>
      <c r="F94" s="35" t="s">
        <v>221</v>
      </c>
      <c r="G94" s="35" t="s">
        <v>277</v>
      </c>
      <c r="H94" s="35" t="s">
        <v>221</v>
      </c>
      <c r="I94" s="35" t="s">
        <v>219</v>
      </c>
    </row>
    <row r="95" spans="2:10" ht="27" customHeight="1" x14ac:dyDescent="0.3">
      <c r="B95" s="16" t="s">
        <v>169</v>
      </c>
      <c r="C95" s="35" t="s">
        <v>229</v>
      </c>
      <c r="D95" s="36" t="s">
        <v>221</v>
      </c>
      <c r="E95" s="35" t="s">
        <v>229</v>
      </c>
      <c r="F95" s="35" t="s">
        <v>221</v>
      </c>
      <c r="G95" s="35" t="s">
        <v>229</v>
      </c>
      <c r="H95" s="35" t="s">
        <v>221</v>
      </c>
      <c r="I95" s="35" t="s">
        <v>229</v>
      </c>
    </row>
    <row r="96" spans="2:10" ht="27" customHeight="1" x14ac:dyDescent="0.3">
      <c r="B96" s="16" t="s">
        <v>231</v>
      </c>
      <c r="C96" s="35" t="s">
        <v>232</v>
      </c>
      <c r="D96" s="35" t="s">
        <v>232</v>
      </c>
      <c r="E96" s="35" t="s">
        <v>232</v>
      </c>
      <c r="F96" s="35" t="s">
        <v>232</v>
      </c>
      <c r="G96" s="35" t="s">
        <v>232</v>
      </c>
      <c r="H96" s="35" t="s">
        <v>232</v>
      </c>
      <c r="I96" s="35" t="s">
        <v>232</v>
      </c>
    </row>
    <row r="97" spans="2:10" ht="42.75" customHeight="1" x14ac:dyDescent="0.3">
      <c r="B97" s="16" t="s">
        <v>177</v>
      </c>
      <c r="C97" s="35" t="s">
        <v>279</v>
      </c>
      <c r="D97" s="35" t="s">
        <v>279</v>
      </c>
      <c r="E97" s="35" t="s">
        <v>279</v>
      </c>
      <c r="F97" s="35" t="s">
        <v>233</v>
      </c>
      <c r="G97" s="35" t="s">
        <v>279</v>
      </c>
      <c r="H97" s="35" t="s">
        <v>233</v>
      </c>
      <c r="I97" s="35" t="s">
        <v>233</v>
      </c>
    </row>
    <row r="98" spans="2:10" x14ac:dyDescent="0.3">
      <c r="B98" s="16" t="s">
        <v>179</v>
      </c>
      <c r="C98" s="35" t="s">
        <v>223</v>
      </c>
      <c r="D98" s="35" t="s">
        <v>223</v>
      </c>
      <c r="E98" s="35" t="s">
        <v>223</v>
      </c>
      <c r="F98" s="35" t="s">
        <v>223</v>
      </c>
      <c r="G98" s="35" t="s">
        <v>223</v>
      </c>
      <c r="H98" s="35" t="s">
        <v>223</v>
      </c>
      <c r="I98" s="35" t="s">
        <v>223</v>
      </c>
    </row>
    <row r="99" spans="2:10" ht="41.25" customHeight="1" x14ac:dyDescent="0.3">
      <c r="B99" s="16" t="s">
        <v>238</v>
      </c>
      <c r="C99" s="35" t="s">
        <v>239</v>
      </c>
      <c r="D99" s="35" t="s">
        <v>239</v>
      </c>
      <c r="E99" s="35" t="s">
        <v>239</v>
      </c>
      <c r="F99" s="35" t="s">
        <v>239</v>
      </c>
      <c r="G99" s="35" t="s">
        <v>239</v>
      </c>
      <c r="H99" s="35" t="s">
        <v>239</v>
      </c>
      <c r="I99" s="35" t="s">
        <v>239</v>
      </c>
    </row>
    <row r="100" spans="2:10" ht="27" customHeight="1" x14ac:dyDescent="0.3">
      <c r="B100" s="16" t="s">
        <v>181</v>
      </c>
      <c r="C100" s="35" t="s">
        <v>232</v>
      </c>
      <c r="D100" s="35" t="s">
        <v>450</v>
      </c>
      <c r="E100" s="35" t="s">
        <v>232</v>
      </c>
      <c r="F100" s="35" t="s">
        <v>232</v>
      </c>
      <c r="G100" s="35" t="s">
        <v>232</v>
      </c>
      <c r="H100" s="35" t="s">
        <v>232</v>
      </c>
      <c r="I100" s="35" t="s">
        <v>450</v>
      </c>
    </row>
    <row r="101" spans="2:10" ht="27" customHeight="1" x14ac:dyDescent="0.3">
      <c r="B101" s="16" t="s">
        <v>183</v>
      </c>
      <c r="C101" s="35" t="s">
        <v>232</v>
      </c>
      <c r="D101" s="35" t="s">
        <v>232</v>
      </c>
      <c r="E101" s="35" t="s">
        <v>232</v>
      </c>
      <c r="F101" s="35" t="s">
        <v>232</v>
      </c>
      <c r="G101" s="35" t="s">
        <v>232</v>
      </c>
      <c r="H101" s="35" t="s">
        <v>232</v>
      </c>
      <c r="I101" s="35" t="s">
        <v>232</v>
      </c>
    </row>
    <row r="102" spans="2:10" ht="244.5" customHeight="1" x14ac:dyDescent="0.3">
      <c r="B102" s="16" t="s">
        <v>243</v>
      </c>
      <c r="C102" s="35" t="s">
        <v>999</v>
      </c>
      <c r="D102" s="35" t="s">
        <v>1000</v>
      </c>
      <c r="E102" s="35" t="s">
        <v>1001</v>
      </c>
      <c r="F102" s="35" t="s">
        <v>1002</v>
      </c>
      <c r="G102" s="35" t="s">
        <v>1003</v>
      </c>
      <c r="H102" s="35" t="s">
        <v>1004</v>
      </c>
      <c r="I102" s="35" t="s">
        <v>1005</v>
      </c>
    </row>
    <row r="104" spans="2:10" ht="14.25" customHeight="1" x14ac:dyDescent="0.3">
      <c r="B104" s="60" t="s">
        <v>581</v>
      </c>
      <c r="C104" s="60"/>
      <c r="D104" s="60"/>
      <c r="E104" s="60"/>
      <c r="F104" s="60"/>
      <c r="G104" s="60"/>
      <c r="H104" s="60"/>
      <c r="I104" s="60"/>
      <c r="J104" s="60"/>
    </row>
    <row r="105" spans="2:10" ht="41.25" customHeight="1" x14ac:dyDescent="0.3">
      <c r="B105" s="22" t="s">
        <v>255</v>
      </c>
      <c r="C105" s="22" t="s">
        <v>167</v>
      </c>
      <c r="D105" s="22" t="s">
        <v>169</v>
      </c>
      <c r="E105" s="22" t="s">
        <v>171</v>
      </c>
      <c r="F105" s="22" t="s">
        <v>177</v>
      </c>
      <c r="G105" s="22" t="s">
        <v>179</v>
      </c>
      <c r="H105" s="22" t="s">
        <v>175</v>
      </c>
      <c r="I105" s="22" t="s">
        <v>181</v>
      </c>
      <c r="J105" s="22" t="s">
        <v>183</v>
      </c>
    </row>
    <row r="106" spans="2:10" ht="28.5" customHeight="1" x14ac:dyDescent="0.3">
      <c r="B106" s="44">
        <v>10</v>
      </c>
      <c r="C106" s="44" t="s">
        <v>223</v>
      </c>
      <c r="D106" s="44" t="s">
        <v>229</v>
      </c>
      <c r="E106" s="44" t="s">
        <v>232</v>
      </c>
      <c r="F106" s="44" t="s">
        <v>583</v>
      </c>
      <c r="G106" s="44" t="s">
        <v>223</v>
      </c>
      <c r="H106" s="37" t="s">
        <v>239</v>
      </c>
      <c r="I106" s="37" t="s">
        <v>232</v>
      </c>
      <c r="J106" s="37" t="s">
        <v>232</v>
      </c>
    </row>
    <row r="107" spans="2:10" ht="28.5" customHeight="1" x14ac:dyDescent="0.3">
      <c r="B107" s="44">
        <v>11</v>
      </c>
      <c r="C107" s="44" t="s">
        <v>221</v>
      </c>
      <c r="D107" s="44" t="s">
        <v>221</v>
      </c>
      <c r="E107" s="44" t="s">
        <v>232</v>
      </c>
      <c r="F107" s="44" t="s">
        <v>583</v>
      </c>
      <c r="G107" s="44" t="s">
        <v>223</v>
      </c>
      <c r="H107" s="37" t="s">
        <v>239</v>
      </c>
      <c r="I107" s="37" t="s">
        <v>450</v>
      </c>
      <c r="J107" s="37" t="s">
        <v>232</v>
      </c>
    </row>
    <row r="108" spans="2:10" ht="28.5" customHeight="1" x14ac:dyDescent="0.3">
      <c r="B108" s="44">
        <v>12</v>
      </c>
      <c r="C108" s="44" t="s">
        <v>224</v>
      </c>
      <c r="D108" s="44" t="s">
        <v>229</v>
      </c>
      <c r="E108" s="44" t="s">
        <v>232</v>
      </c>
      <c r="F108" s="44" t="s">
        <v>583</v>
      </c>
      <c r="G108" s="44" t="s">
        <v>223</v>
      </c>
      <c r="H108" s="37" t="s">
        <v>239</v>
      </c>
      <c r="I108" s="37" t="s">
        <v>232</v>
      </c>
      <c r="J108" s="37" t="s">
        <v>232</v>
      </c>
    </row>
    <row r="109" spans="2:10" x14ac:dyDescent="0.3">
      <c r="B109" s="44">
        <v>13</v>
      </c>
      <c r="C109" s="44" t="s">
        <v>221</v>
      </c>
      <c r="D109" s="44" t="s">
        <v>221</v>
      </c>
      <c r="E109" s="44" t="s">
        <v>232</v>
      </c>
      <c r="F109" s="44" t="s">
        <v>233</v>
      </c>
      <c r="G109" s="44" t="s">
        <v>223</v>
      </c>
      <c r="H109" s="37" t="s">
        <v>239</v>
      </c>
      <c r="I109" s="37" t="s">
        <v>232</v>
      </c>
      <c r="J109" s="37" t="s">
        <v>232</v>
      </c>
    </row>
    <row r="110" spans="2:10" ht="28.5" customHeight="1" x14ac:dyDescent="0.3">
      <c r="B110" s="44">
        <v>14</v>
      </c>
      <c r="C110" s="44" t="s">
        <v>277</v>
      </c>
      <c r="D110" s="44" t="s">
        <v>229</v>
      </c>
      <c r="E110" s="44" t="s">
        <v>232</v>
      </c>
      <c r="F110" s="44" t="s">
        <v>583</v>
      </c>
      <c r="G110" s="44" t="s">
        <v>223</v>
      </c>
      <c r="H110" s="37" t="s">
        <v>239</v>
      </c>
      <c r="I110" s="37" t="s">
        <v>232</v>
      </c>
      <c r="J110" s="37" t="s">
        <v>232</v>
      </c>
    </row>
    <row r="111" spans="2:10" x14ac:dyDescent="0.3">
      <c r="B111" s="44">
        <v>15</v>
      </c>
      <c r="C111" s="44" t="s">
        <v>221</v>
      </c>
      <c r="D111" s="44" t="s">
        <v>221</v>
      </c>
      <c r="E111" s="44" t="s">
        <v>232</v>
      </c>
      <c r="F111" s="44" t="s">
        <v>233</v>
      </c>
      <c r="G111" s="44" t="s">
        <v>223</v>
      </c>
      <c r="H111" s="37" t="s">
        <v>239</v>
      </c>
      <c r="I111" s="37" t="s">
        <v>232</v>
      </c>
      <c r="J111" s="37" t="s">
        <v>232</v>
      </c>
    </row>
    <row r="112" spans="2:10" x14ac:dyDescent="0.3">
      <c r="B112" s="44">
        <v>16</v>
      </c>
      <c r="C112" s="44" t="s">
        <v>219</v>
      </c>
      <c r="D112" s="44" t="s">
        <v>229</v>
      </c>
      <c r="E112" s="44" t="s">
        <v>232</v>
      </c>
      <c r="F112" s="44" t="s">
        <v>233</v>
      </c>
      <c r="G112" s="44" t="s">
        <v>223</v>
      </c>
      <c r="H112" s="37" t="s">
        <v>239</v>
      </c>
      <c r="I112" s="37" t="s">
        <v>450</v>
      </c>
      <c r="J112" s="37" t="s">
        <v>232</v>
      </c>
    </row>
    <row r="114" spans="2:11" ht="14.25" customHeight="1" x14ac:dyDescent="0.3">
      <c r="B114" s="60" t="s">
        <v>288</v>
      </c>
      <c r="C114" s="60"/>
      <c r="D114" s="60"/>
      <c r="E114" s="60"/>
      <c r="F114" s="60"/>
      <c r="G114" s="60"/>
      <c r="H114" s="60"/>
      <c r="I114" s="60"/>
      <c r="J114" s="60"/>
      <c r="K114" s="15"/>
    </row>
    <row r="115" spans="2:11" ht="41.25" customHeight="1" x14ac:dyDescent="0.3">
      <c r="B115" s="22" t="s">
        <v>289</v>
      </c>
      <c r="C115" s="22" t="s">
        <v>1006</v>
      </c>
      <c r="D115" s="22" t="s">
        <v>1007</v>
      </c>
      <c r="E115" s="22" t="s">
        <v>1008</v>
      </c>
      <c r="F115" s="22" t="s">
        <v>1009</v>
      </c>
      <c r="G115" s="22" t="s">
        <v>1010</v>
      </c>
      <c r="H115" s="22" t="s">
        <v>836</v>
      </c>
      <c r="I115" s="22" t="s">
        <v>837</v>
      </c>
      <c r="J115" s="22" t="s">
        <v>1011</v>
      </c>
      <c r="K115" s="15"/>
    </row>
    <row r="116" spans="2:11" ht="54.75" customHeight="1" x14ac:dyDescent="0.3">
      <c r="B116" s="31">
        <v>1</v>
      </c>
      <c r="C116" s="23" t="s">
        <v>843</v>
      </c>
      <c r="D116" s="3" t="s">
        <v>1012</v>
      </c>
      <c r="E116" s="23" t="s">
        <v>1013</v>
      </c>
      <c r="F116" s="3" t="s">
        <v>1014</v>
      </c>
      <c r="G116" s="23" t="s">
        <v>1015</v>
      </c>
      <c r="H116" s="3" t="s">
        <v>1016</v>
      </c>
      <c r="I116" s="23" t="s">
        <v>843</v>
      </c>
      <c r="J116" s="24" t="s">
        <v>851</v>
      </c>
      <c r="K116" s="15"/>
    </row>
    <row r="117" spans="2:11" ht="54.75" customHeight="1" x14ac:dyDescent="0.3">
      <c r="B117" s="31">
        <v>2</v>
      </c>
      <c r="C117" s="23" t="s">
        <v>850</v>
      </c>
      <c r="D117" s="23" t="s">
        <v>1017</v>
      </c>
      <c r="E117" s="3" t="s">
        <v>1018</v>
      </c>
      <c r="F117" s="3" t="s">
        <v>1019</v>
      </c>
      <c r="G117" s="3" t="s">
        <v>1020</v>
      </c>
      <c r="H117" s="3" t="s">
        <v>1021</v>
      </c>
      <c r="I117" s="23" t="s">
        <v>850</v>
      </c>
      <c r="J117" s="24" t="s">
        <v>851</v>
      </c>
      <c r="K117" s="15"/>
    </row>
    <row r="118" spans="2:11" x14ac:dyDescent="0.3">
      <c r="B118" s="14"/>
      <c r="C118" s="14"/>
      <c r="D118" s="14"/>
      <c r="E118" s="14"/>
      <c r="F118" s="14"/>
      <c r="G118" s="14"/>
      <c r="H118" s="14"/>
      <c r="I118" s="14"/>
      <c r="J118" s="14"/>
      <c r="K118" s="15"/>
    </row>
    <row r="119" spans="2:11" ht="14.25" customHeight="1" x14ac:dyDescent="0.3">
      <c r="B119" s="61" t="s">
        <v>306</v>
      </c>
      <c r="C119" s="61"/>
      <c r="D119" s="61"/>
      <c r="E119" s="61"/>
      <c r="F119" s="61"/>
      <c r="G119" s="61"/>
      <c r="H119" s="61"/>
      <c r="I119" s="14"/>
      <c r="J119" s="14"/>
      <c r="K119" s="15"/>
    </row>
    <row r="120" spans="2:11" ht="41.25" customHeight="1" x14ac:dyDescent="0.3">
      <c r="B120" s="27" t="s">
        <v>255</v>
      </c>
      <c r="C120" s="27" t="s">
        <v>167</v>
      </c>
      <c r="D120" s="27" t="s">
        <v>307</v>
      </c>
      <c r="E120" s="27" t="s">
        <v>308</v>
      </c>
      <c r="F120" s="27" t="s">
        <v>309</v>
      </c>
      <c r="G120" s="27" t="s">
        <v>181</v>
      </c>
      <c r="H120" s="27" t="s">
        <v>310</v>
      </c>
      <c r="I120" s="14"/>
      <c r="J120" s="33"/>
      <c r="K120" s="33"/>
    </row>
    <row r="121" spans="2:11" ht="27" customHeight="1" x14ac:dyDescent="0.3">
      <c r="B121" s="22" t="s">
        <v>255</v>
      </c>
      <c r="C121" s="22" t="s">
        <v>167</v>
      </c>
      <c r="D121" s="22" t="s">
        <v>311</v>
      </c>
      <c r="E121" s="22" t="s">
        <v>308</v>
      </c>
      <c r="F121" s="22" t="s">
        <v>312</v>
      </c>
      <c r="G121" s="22" t="s">
        <v>181</v>
      </c>
      <c r="H121" s="22" t="s">
        <v>313</v>
      </c>
      <c r="I121" s="14"/>
      <c r="J121" s="33"/>
      <c r="K121" s="33"/>
    </row>
    <row r="122" spans="2:11" x14ac:dyDescent="0.3">
      <c r="B122" s="31">
        <v>1</v>
      </c>
      <c r="C122" s="23">
        <v>3</v>
      </c>
      <c r="D122" s="23">
        <v>5</v>
      </c>
      <c r="E122" s="23">
        <v>4</v>
      </c>
      <c r="F122" s="23">
        <v>3</v>
      </c>
      <c r="G122" s="23">
        <v>5</v>
      </c>
      <c r="H122" s="39">
        <f t="shared" ref="H122:H130" si="0">AVERAGE(C122:G122)</f>
        <v>4</v>
      </c>
      <c r="I122" s="14"/>
      <c r="J122" s="33"/>
      <c r="K122" s="33"/>
    </row>
    <row r="123" spans="2:11" x14ac:dyDescent="0.3">
      <c r="B123" s="31">
        <v>2</v>
      </c>
      <c r="C123" s="23">
        <v>3</v>
      </c>
      <c r="D123" s="23">
        <v>5</v>
      </c>
      <c r="E123" s="23">
        <v>3</v>
      </c>
      <c r="F123" s="23">
        <v>2</v>
      </c>
      <c r="G123" s="23">
        <v>4</v>
      </c>
      <c r="H123" s="39">
        <f t="shared" si="0"/>
        <v>3.4</v>
      </c>
      <c r="I123" s="14"/>
      <c r="J123" s="33"/>
      <c r="K123" s="33"/>
    </row>
    <row r="124" spans="2:11" x14ac:dyDescent="0.3">
      <c r="B124" s="31">
        <v>3</v>
      </c>
      <c r="C124" s="23">
        <v>3</v>
      </c>
      <c r="D124" s="23">
        <v>5</v>
      </c>
      <c r="E124" s="23">
        <v>3</v>
      </c>
      <c r="F124" s="23">
        <v>3</v>
      </c>
      <c r="G124" s="23">
        <v>3</v>
      </c>
      <c r="H124" s="39">
        <f t="shared" si="0"/>
        <v>3.4</v>
      </c>
      <c r="I124" s="14"/>
      <c r="J124" s="33"/>
      <c r="K124" s="33"/>
    </row>
    <row r="125" spans="2:11" x14ac:dyDescent="0.3">
      <c r="B125" s="31">
        <v>4</v>
      </c>
      <c r="C125" s="23">
        <v>5</v>
      </c>
      <c r="D125" s="23">
        <v>4</v>
      </c>
      <c r="E125" s="23">
        <v>5</v>
      </c>
      <c r="F125" s="23">
        <v>4</v>
      </c>
      <c r="G125" s="23">
        <v>4</v>
      </c>
      <c r="H125" s="39">
        <f t="shared" si="0"/>
        <v>4.4000000000000004</v>
      </c>
      <c r="I125" s="14"/>
      <c r="J125" s="14"/>
      <c r="K125" s="15"/>
    </row>
    <row r="126" spans="2:11" x14ac:dyDescent="0.3">
      <c r="B126" s="31">
        <v>5</v>
      </c>
      <c r="C126" s="23">
        <v>3</v>
      </c>
      <c r="D126" s="23">
        <v>5</v>
      </c>
      <c r="E126" s="23">
        <v>3</v>
      </c>
      <c r="F126" s="23">
        <v>3</v>
      </c>
      <c r="G126" s="23">
        <v>3</v>
      </c>
      <c r="H126" s="39">
        <f t="shared" si="0"/>
        <v>3.4</v>
      </c>
      <c r="I126" s="14"/>
      <c r="J126" s="14"/>
      <c r="K126" s="15"/>
    </row>
    <row r="127" spans="2:11" x14ac:dyDescent="0.3">
      <c r="B127" s="31">
        <v>6</v>
      </c>
      <c r="C127" s="23">
        <v>5</v>
      </c>
      <c r="D127" s="23">
        <v>4</v>
      </c>
      <c r="E127" s="23">
        <v>5</v>
      </c>
      <c r="F127" s="23">
        <v>4</v>
      </c>
      <c r="G127" s="23">
        <v>3</v>
      </c>
      <c r="H127" s="39">
        <f t="shared" si="0"/>
        <v>4.2</v>
      </c>
      <c r="I127" s="14"/>
      <c r="J127" s="14"/>
      <c r="K127" s="15"/>
    </row>
    <row r="128" spans="2:11" x14ac:dyDescent="0.3">
      <c r="B128" s="31">
        <v>7</v>
      </c>
      <c r="C128" s="23">
        <v>4</v>
      </c>
      <c r="D128" s="23">
        <v>3</v>
      </c>
      <c r="E128" s="23">
        <v>4</v>
      </c>
      <c r="F128" s="23">
        <v>4</v>
      </c>
      <c r="G128" s="23">
        <v>3</v>
      </c>
      <c r="H128" s="39">
        <f t="shared" si="0"/>
        <v>3.6</v>
      </c>
      <c r="I128" s="14"/>
      <c r="J128" s="14"/>
      <c r="K128" s="15"/>
    </row>
    <row r="129" spans="2:11" x14ac:dyDescent="0.3">
      <c r="B129" s="31">
        <v>8</v>
      </c>
      <c r="C129" s="23">
        <v>1</v>
      </c>
      <c r="D129" s="23">
        <v>4</v>
      </c>
      <c r="E129" s="23">
        <v>2</v>
      </c>
      <c r="F129" s="23">
        <v>1</v>
      </c>
      <c r="G129" s="23">
        <v>3</v>
      </c>
      <c r="H129" s="39">
        <f t="shared" si="0"/>
        <v>2.2000000000000002</v>
      </c>
      <c r="I129" s="14"/>
      <c r="J129" s="14"/>
      <c r="K129" s="15"/>
    </row>
    <row r="130" spans="2:11" x14ac:dyDescent="0.3">
      <c r="B130" s="31">
        <v>9</v>
      </c>
      <c r="C130" s="23">
        <v>1</v>
      </c>
      <c r="D130" s="23">
        <v>3</v>
      </c>
      <c r="E130" s="23">
        <v>2</v>
      </c>
      <c r="F130" s="23">
        <v>2</v>
      </c>
      <c r="G130" s="23">
        <v>2</v>
      </c>
      <c r="H130" s="39">
        <f t="shared" si="0"/>
        <v>2</v>
      </c>
      <c r="I130" s="14"/>
      <c r="J130" s="14"/>
      <c r="K130" s="15"/>
    </row>
  </sheetData>
  <mergeCells count="32">
    <mergeCell ref="B1:E1"/>
    <mergeCell ref="C2:E2"/>
    <mergeCell ref="C3:E3"/>
    <mergeCell ref="C4:E4"/>
    <mergeCell ref="C5:E5"/>
    <mergeCell ref="C6:E6"/>
    <mergeCell ref="C7:E7"/>
    <mergeCell ref="B10:E10"/>
    <mergeCell ref="C11:E11"/>
    <mergeCell ref="C12:E12"/>
    <mergeCell ref="C13:E13"/>
    <mergeCell ref="C14:E14"/>
    <mergeCell ref="C15:E15"/>
    <mergeCell ref="C16:E16"/>
    <mergeCell ref="C17:E17"/>
    <mergeCell ref="B19:D19"/>
    <mergeCell ref="B30:C30"/>
    <mergeCell ref="B50:E50"/>
    <mergeCell ref="C51:E51"/>
    <mergeCell ref="C52:E52"/>
    <mergeCell ref="C53:E53"/>
    <mergeCell ref="C54:E54"/>
    <mergeCell ref="B57:E57"/>
    <mergeCell ref="C58:E58"/>
    <mergeCell ref="C59:E59"/>
    <mergeCell ref="B114:J114"/>
    <mergeCell ref="B119:H119"/>
    <mergeCell ref="C60:E60"/>
    <mergeCell ref="C61:E61"/>
    <mergeCell ref="C62:E62"/>
    <mergeCell ref="B78:J78"/>
    <mergeCell ref="B104:J104"/>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L129"/>
  <sheetViews>
    <sheetView topLeftCell="A101" zoomScale="73" zoomScaleNormal="55" workbookViewId="0">
      <selection activeCell="D134" sqref="D134"/>
    </sheetView>
  </sheetViews>
  <sheetFormatPr defaultColWidth="8.88671875" defaultRowHeight="14.4" x14ac:dyDescent="0.3"/>
  <cols>
    <col min="1" max="1" width="8.88671875" style="13"/>
    <col min="2" max="2" width="9.21875" style="13" customWidth="1"/>
    <col min="3" max="3" width="8.88671875" style="13"/>
    <col min="4" max="4" width="9.109375" style="13" customWidth="1"/>
    <col min="5" max="6" width="8.88671875" style="13"/>
    <col min="7" max="7" width="15.33203125" style="13" customWidth="1"/>
    <col min="8" max="8" width="9" style="13" customWidth="1"/>
    <col min="9" max="10" width="8.88671875" style="13"/>
    <col min="11" max="11" width="8.77734375" style="13" customWidth="1"/>
    <col min="12" max="16384" width="8.88671875" style="13"/>
  </cols>
  <sheetData>
    <row r="1" spans="2:5" ht="14.25" customHeight="1" x14ac:dyDescent="0.3">
      <c r="B1" s="62" t="s">
        <v>130</v>
      </c>
      <c r="C1" s="62"/>
      <c r="D1" s="62"/>
      <c r="E1" s="62"/>
    </row>
    <row r="2" spans="2:5" ht="27" customHeight="1" x14ac:dyDescent="0.3">
      <c r="B2" s="16" t="s">
        <v>131</v>
      </c>
      <c r="C2" s="68" t="s">
        <v>54</v>
      </c>
      <c r="D2" s="68"/>
      <c r="E2" s="68"/>
    </row>
    <row r="3" spans="2:5" ht="27" customHeight="1" x14ac:dyDescent="0.3">
      <c r="B3" s="16" t="s">
        <v>132</v>
      </c>
      <c r="C3" s="68" t="s">
        <v>1022</v>
      </c>
      <c r="D3" s="68"/>
      <c r="E3" s="68"/>
    </row>
    <row r="4" spans="2:5" ht="27" customHeight="1" x14ac:dyDescent="0.3">
      <c r="B4" s="16" t="s">
        <v>134</v>
      </c>
      <c r="C4" s="68" t="s">
        <v>1023</v>
      </c>
      <c r="D4" s="68"/>
      <c r="E4" s="68"/>
    </row>
    <row r="5" spans="2:5" ht="27" customHeight="1" x14ac:dyDescent="0.3">
      <c r="B5" s="16" t="s">
        <v>136</v>
      </c>
      <c r="C5" s="68" t="s">
        <v>1024</v>
      </c>
      <c r="D5" s="68"/>
      <c r="E5" s="68"/>
    </row>
    <row r="6" spans="2:5" ht="27" customHeight="1" x14ac:dyDescent="0.3">
      <c r="B6" s="16" t="s">
        <v>138</v>
      </c>
      <c r="C6" s="68" t="s">
        <v>139</v>
      </c>
      <c r="D6" s="68"/>
      <c r="E6" s="68"/>
    </row>
    <row r="7" spans="2:5" ht="55.2" customHeight="1" x14ac:dyDescent="0.3">
      <c r="B7" s="16" t="s">
        <v>140</v>
      </c>
      <c r="C7" s="68" t="s">
        <v>1025</v>
      </c>
      <c r="D7" s="68"/>
      <c r="E7" s="68"/>
    </row>
    <row r="9" spans="2:5" ht="30.75" customHeight="1" x14ac:dyDescent="0.3">
      <c r="B9" s="17" t="s">
        <v>142</v>
      </c>
      <c r="C9" s="34"/>
      <c r="D9" s="34"/>
      <c r="E9" s="34"/>
    </row>
    <row r="10" spans="2:5" ht="14.25" customHeight="1" x14ac:dyDescent="0.3">
      <c r="B10" s="60" t="s">
        <v>143</v>
      </c>
      <c r="C10" s="60"/>
      <c r="D10" s="60"/>
      <c r="E10" s="60"/>
    </row>
    <row r="11" spans="2:5" ht="69" customHeight="1" x14ac:dyDescent="0.3">
      <c r="B11" s="31" t="s">
        <v>1026</v>
      </c>
      <c r="C11" s="63" t="s">
        <v>1027</v>
      </c>
      <c r="D11" s="63"/>
      <c r="E11" s="63"/>
    </row>
    <row r="12" spans="2:5" ht="54.75" customHeight="1" x14ac:dyDescent="0.3">
      <c r="B12" s="31" t="s">
        <v>1028</v>
      </c>
      <c r="C12" s="63" t="s">
        <v>1029</v>
      </c>
      <c r="D12" s="63"/>
      <c r="E12" s="63"/>
    </row>
    <row r="13" spans="2:5" ht="82.5" customHeight="1" x14ac:dyDescent="0.3">
      <c r="B13" s="31" t="s">
        <v>1030</v>
      </c>
      <c r="C13" s="63" t="s">
        <v>1031</v>
      </c>
      <c r="D13" s="63"/>
      <c r="E13" s="63"/>
    </row>
    <row r="14" spans="2:5" ht="69" customHeight="1" x14ac:dyDescent="0.3">
      <c r="B14" s="31" t="s">
        <v>1032</v>
      </c>
      <c r="C14" s="63" t="s">
        <v>1033</v>
      </c>
      <c r="D14" s="63"/>
      <c r="E14" s="63"/>
    </row>
    <row r="15" spans="2:5" ht="54.75" customHeight="1" x14ac:dyDescent="0.3">
      <c r="B15" s="31" t="s">
        <v>1034</v>
      </c>
      <c r="C15" s="63" t="s">
        <v>1035</v>
      </c>
      <c r="D15" s="63"/>
      <c r="E15" s="63"/>
    </row>
    <row r="16" spans="2:5" ht="54.75" customHeight="1" x14ac:dyDescent="0.3">
      <c r="B16" s="31" t="s">
        <v>1036</v>
      </c>
      <c r="C16" s="63" t="s">
        <v>1037</v>
      </c>
      <c r="D16" s="63"/>
      <c r="E16" s="63"/>
    </row>
    <row r="17" spans="2:5" ht="41.25" customHeight="1" x14ac:dyDescent="0.3">
      <c r="B17" s="31" t="s">
        <v>1038</v>
      </c>
      <c r="C17" s="63" t="s">
        <v>1039</v>
      </c>
      <c r="D17" s="63"/>
      <c r="E17" s="63"/>
    </row>
    <row r="18" spans="2:5" ht="54.75" customHeight="1" x14ac:dyDescent="0.3">
      <c r="B18" s="31" t="s">
        <v>1040</v>
      </c>
      <c r="C18" s="63" t="s">
        <v>1041</v>
      </c>
      <c r="D18" s="63"/>
      <c r="E18" s="63"/>
    </row>
    <row r="20" spans="2:5" ht="14.25" customHeight="1" x14ac:dyDescent="0.3">
      <c r="B20" s="60" t="s">
        <v>152</v>
      </c>
      <c r="C20" s="60"/>
      <c r="D20" s="60"/>
    </row>
    <row r="21" spans="2:5" x14ac:dyDescent="0.3">
      <c r="B21" s="22" t="s">
        <v>153</v>
      </c>
      <c r="C21" s="22" t="s">
        <v>154</v>
      </c>
      <c r="D21" s="22" t="s">
        <v>155</v>
      </c>
    </row>
    <row r="22" spans="2:5" ht="123.75" customHeight="1" x14ac:dyDescent="0.3">
      <c r="B22" s="41">
        <v>1</v>
      </c>
      <c r="C22" s="3" t="s">
        <v>1042</v>
      </c>
      <c r="D22" s="41" t="s">
        <v>1043</v>
      </c>
    </row>
    <row r="23" spans="2:5" ht="123.75" customHeight="1" x14ac:dyDescent="0.3">
      <c r="B23" s="41">
        <v>2</v>
      </c>
      <c r="C23" s="3" t="s">
        <v>1044</v>
      </c>
      <c r="D23" s="41" t="s">
        <v>1045</v>
      </c>
    </row>
    <row r="24" spans="2:5" ht="138" customHeight="1" x14ac:dyDescent="0.3">
      <c r="B24" s="41">
        <v>3</v>
      </c>
      <c r="C24" s="3" t="s">
        <v>1046</v>
      </c>
      <c r="D24" s="41" t="s">
        <v>1047</v>
      </c>
    </row>
    <row r="25" spans="2:5" ht="123.75" customHeight="1" x14ac:dyDescent="0.3">
      <c r="B25" s="41">
        <v>4</v>
      </c>
      <c r="C25" s="3" t="s">
        <v>1048</v>
      </c>
      <c r="D25" s="41" t="s">
        <v>1049</v>
      </c>
    </row>
    <row r="26" spans="2:5" ht="96" customHeight="1" x14ac:dyDescent="0.3">
      <c r="B26" s="41">
        <v>5</v>
      </c>
      <c r="C26" s="3" t="s">
        <v>1050</v>
      </c>
      <c r="D26" s="41" t="s">
        <v>1051</v>
      </c>
    </row>
    <row r="27" spans="2:5" ht="96" customHeight="1" x14ac:dyDescent="0.3">
      <c r="B27" s="41">
        <v>6</v>
      </c>
      <c r="C27" s="3" t="s">
        <v>1052</v>
      </c>
      <c r="D27" s="41" t="s">
        <v>1053</v>
      </c>
    </row>
    <row r="28" spans="2:5" ht="110.25" customHeight="1" x14ac:dyDescent="0.3">
      <c r="B28" s="41">
        <v>7</v>
      </c>
      <c r="C28" s="3" t="s">
        <v>1054</v>
      </c>
      <c r="D28" s="41" t="s">
        <v>1055</v>
      </c>
    </row>
    <row r="30" spans="2:5" ht="14.25" customHeight="1" x14ac:dyDescent="0.3">
      <c r="B30" s="60" t="s">
        <v>164</v>
      </c>
      <c r="C30" s="60"/>
      <c r="D30" s="18"/>
      <c r="E30" s="18"/>
    </row>
    <row r="31" spans="2:5" x14ac:dyDescent="0.3">
      <c r="B31" s="22" t="s">
        <v>165</v>
      </c>
      <c r="C31" s="22" t="s">
        <v>166</v>
      </c>
      <c r="D31" s="19"/>
      <c r="E31" s="19"/>
    </row>
    <row r="32" spans="2:5" ht="69" customHeight="1" x14ac:dyDescent="0.3">
      <c r="B32" s="44" t="s">
        <v>167</v>
      </c>
      <c r="C32" s="3" t="s">
        <v>1056</v>
      </c>
      <c r="D32" s="32"/>
      <c r="E32" s="9"/>
    </row>
    <row r="33" spans="2:5" ht="69" customHeight="1" x14ac:dyDescent="0.3">
      <c r="B33" s="44" t="s">
        <v>169</v>
      </c>
      <c r="C33" s="3" t="s">
        <v>1057</v>
      </c>
      <c r="D33" s="32"/>
      <c r="E33" s="9"/>
    </row>
    <row r="34" spans="2:5" ht="69" customHeight="1" x14ac:dyDescent="0.3">
      <c r="B34" s="44" t="s">
        <v>171</v>
      </c>
      <c r="C34" s="3" t="s">
        <v>1058</v>
      </c>
      <c r="D34" s="32"/>
      <c r="E34" s="9"/>
    </row>
    <row r="35" spans="2:5" ht="165" customHeight="1" x14ac:dyDescent="0.3">
      <c r="B35" s="44" t="s">
        <v>173</v>
      </c>
      <c r="C35" s="3" t="s">
        <v>1059</v>
      </c>
      <c r="D35" s="32"/>
      <c r="E35" s="9"/>
    </row>
    <row r="36" spans="2:5" ht="123.75" customHeight="1" x14ac:dyDescent="0.3">
      <c r="B36" s="44" t="s">
        <v>175</v>
      </c>
      <c r="C36" s="3" t="s">
        <v>1060</v>
      </c>
      <c r="D36" s="32"/>
      <c r="E36" s="9"/>
    </row>
    <row r="37" spans="2:5" ht="151.5" customHeight="1" x14ac:dyDescent="0.3">
      <c r="B37" s="44" t="s">
        <v>177</v>
      </c>
      <c r="C37" s="3" t="s">
        <v>1061</v>
      </c>
      <c r="D37" s="32"/>
      <c r="E37" s="20"/>
    </row>
    <row r="38" spans="2:5" ht="96" customHeight="1" x14ac:dyDescent="0.3">
      <c r="B38" s="44" t="s">
        <v>179</v>
      </c>
      <c r="C38" s="3" t="s">
        <v>1062</v>
      </c>
      <c r="D38" s="32"/>
      <c r="E38" s="9"/>
    </row>
    <row r="39" spans="2:5" ht="151.5" customHeight="1" x14ac:dyDescent="0.3">
      <c r="B39" s="44" t="s">
        <v>181</v>
      </c>
      <c r="C39" s="3" t="s">
        <v>1063</v>
      </c>
      <c r="D39" s="32"/>
      <c r="E39" s="9"/>
    </row>
    <row r="40" spans="2:5" ht="110.25" customHeight="1" x14ac:dyDescent="0.3">
      <c r="B40" s="44" t="s">
        <v>183</v>
      </c>
      <c r="C40" s="3" t="s">
        <v>1064</v>
      </c>
      <c r="D40" s="32"/>
      <c r="E40" s="9"/>
    </row>
    <row r="41" spans="2:5" ht="41.25" customHeight="1" x14ac:dyDescent="0.3">
      <c r="B41" s="31" t="s">
        <v>1065</v>
      </c>
      <c r="C41" s="3" t="s">
        <v>1066</v>
      </c>
    </row>
    <row r="42" spans="2:5" ht="138" customHeight="1" x14ac:dyDescent="0.3">
      <c r="B42" s="31" t="s">
        <v>1067</v>
      </c>
      <c r="C42" s="3" t="s">
        <v>1068</v>
      </c>
    </row>
    <row r="43" spans="2:5" ht="41.25" customHeight="1" x14ac:dyDescent="0.3">
      <c r="B43" s="31" t="s">
        <v>1069</v>
      </c>
      <c r="C43" s="3" t="s">
        <v>1070</v>
      </c>
    </row>
    <row r="44" spans="2:5" ht="54.75" customHeight="1" x14ac:dyDescent="0.3">
      <c r="B44" s="31" t="s">
        <v>1071</v>
      </c>
      <c r="C44" s="3" t="s">
        <v>1072</v>
      </c>
    </row>
    <row r="45" spans="2:5" ht="54.75" customHeight="1" x14ac:dyDescent="0.3">
      <c r="B45" s="31" t="s">
        <v>1073</v>
      </c>
      <c r="C45" s="3" t="s">
        <v>1074</v>
      </c>
    </row>
    <row r="46" spans="2:5" ht="41.25" customHeight="1" x14ac:dyDescent="0.3">
      <c r="B46" s="31" t="s">
        <v>1075</v>
      </c>
      <c r="C46" s="23" t="s">
        <v>1076</v>
      </c>
    </row>
    <row r="47" spans="2:5" ht="69" customHeight="1" x14ac:dyDescent="0.3">
      <c r="B47" s="31" t="s">
        <v>1077</v>
      </c>
      <c r="C47" s="3" t="s">
        <v>1078</v>
      </c>
    </row>
    <row r="48" spans="2:5" ht="54.75" customHeight="1" x14ac:dyDescent="0.3">
      <c r="B48" s="31" t="s">
        <v>1079</v>
      </c>
      <c r="C48" s="3" t="s">
        <v>1080</v>
      </c>
    </row>
    <row r="49" spans="2:12" ht="41.25" customHeight="1" x14ac:dyDescent="0.3">
      <c r="B49" s="31" t="s">
        <v>1081</v>
      </c>
      <c r="C49" s="3" t="s">
        <v>1082</v>
      </c>
    </row>
    <row r="51" spans="2:12" ht="46.5" customHeight="1" x14ac:dyDescent="0.3">
      <c r="B51" s="17" t="s">
        <v>185</v>
      </c>
      <c r="C51" s="34"/>
      <c r="D51" s="34"/>
      <c r="E51" s="34"/>
    </row>
    <row r="52" spans="2:12" ht="14.25" customHeight="1" x14ac:dyDescent="0.3">
      <c r="B52" s="62" t="s">
        <v>186</v>
      </c>
      <c r="C52" s="62"/>
      <c r="D52" s="62"/>
      <c r="E52" s="62"/>
    </row>
    <row r="53" spans="2:12" ht="28.5" customHeight="1" x14ac:dyDescent="0.3">
      <c r="B53" s="35" t="s">
        <v>187</v>
      </c>
      <c r="C53" s="63" t="s">
        <v>1083</v>
      </c>
      <c r="D53" s="63"/>
      <c r="E53" s="63"/>
    </row>
    <row r="54" spans="2:12" ht="42.75" customHeight="1" x14ac:dyDescent="0.3">
      <c r="B54" s="35" t="s">
        <v>189</v>
      </c>
      <c r="C54" s="63" t="s">
        <v>1084</v>
      </c>
      <c r="D54" s="63"/>
      <c r="E54" s="63"/>
    </row>
    <row r="55" spans="2:12" ht="28.5" customHeight="1" x14ac:dyDescent="0.3">
      <c r="B55" s="35" t="s">
        <v>191</v>
      </c>
      <c r="C55" s="64" t="s">
        <v>1085</v>
      </c>
      <c r="D55" s="64"/>
      <c r="E55" s="64"/>
    </row>
    <row r="56" spans="2:12" ht="42.75" customHeight="1" x14ac:dyDescent="0.3">
      <c r="B56" s="35" t="s">
        <v>193</v>
      </c>
      <c r="C56" s="68" t="s">
        <v>1086</v>
      </c>
      <c r="D56" s="68"/>
      <c r="E56" s="68"/>
    </row>
    <row r="58" spans="2:12" ht="78" customHeight="1" x14ac:dyDescent="0.3">
      <c r="B58" s="17" t="s">
        <v>195</v>
      </c>
      <c r="C58" s="34"/>
      <c r="D58" s="34"/>
      <c r="E58" s="34"/>
      <c r="F58" s="34"/>
      <c r="G58" s="34"/>
      <c r="H58" s="34"/>
      <c r="I58" s="34"/>
      <c r="J58" s="34"/>
    </row>
    <row r="59" spans="2:12" ht="27" customHeight="1" x14ac:dyDescent="0.3">
      <c r="B59" s="26" t="s">
        <v>196</v>
      </c>
      <c r="C59" s="26" t="s">
        <v>197</v>
      </c>
      <c r="D59" s="26">
        <v>2</v>
      </c>
      <c r="E59" s="26">
        <v>3</v>
      </c>
      <c r="F59" s="26">
        <v>4</v>
      </c>
      <c r="G59" s="26">
        <v>5</v>
      </c>
      <c r="H59" s="26">
        <v>6</v>
      </c>
      <c r="I59" s="26">
        <v>7</v>
      </c>
      <c r="J59" s="26">
        <v>8</v>
      </c>
      <c r="K59" s="26">
        <v>9</v>
      </c>
      <c r="L59" s="26">
        <v>10</v>
      </c>
    </row>
    <row r="60" spans="2:12" ht="69" customHeight="1" x14ac:dyDescent="0.3">
      <c r="B60" s="27" t="s">
        <v>130</v>
      </c>
      <c r="C60" s="27" t="s">
        <v>1087</v>
      </c>
      <c r="D60" s="27" t="s">
        <v>1088</v>
      </c>
      <c r="E60" s="27" t="s">
        <v>1089</v>
      </c>
      <c r="F60" s="27" t="s">
        <v>1090</v>
      </c>
      <c r="G60" s="27" t="s">
        <v>1091</v>
      </c>
      <c r="H60" s="27" t="s">
        <v>1092</v>
      </c>
      <c r="I60" s="27" t="s">
        <v>1093</v>
      </c>
      <c r="J60" s="27" t="s">
        <v>1094</v>
      </c>
      <c r="K60" s="27" t="s">
        <v>1095</v>
      </c>
      <c r="L60" s="27" t="s">
        <v>1096</v>
      </c>
    </row>
    <row r="61" spans="2:12" ht="207" customHeight="1" x14ac:dyDescent="0.3">
      <c r="B61" s="16" t="s">
        <v>208</v>
      </c>
      <c r="C61" s="3" t="s">
        <v>1097</v>
      </c>
      <c r="D61" s="3" t="s">
        <v>1098</v>
      </c>
      <c r="E61" s="3" t="s">
        <v>1099</v>
      </c>
      <c r="F61" s="3" t="s">
        <v>1100</v>
      </c>
      <c r="G61" s="3" t="s">
        <v>1101</v>
      </c>
      <c r="H61" s="3" t="s">
        <v>1102</v>
      </c>
      <c r="I61" s="3" t="s">
        <v>1103</v>
      </c>
      <c r="J61" s="3" t="s">
        <v>1104</v>
      </c>
      <c r="K61" s="3" t="s">
        <v>1105</v>
      </c>
      <c r="L61" s="3" t="s">
        <v>1106</v>
      </c>
    </row>
    <row r="62" spans="2:12" ht="54.75" customHeight="1" x14ac:dyDescent="0.3">
      <c r="B62" s="16" t="s">
        <v>167</v>
      </c>
      <c r="C62" s="3" t="s">
        <v>1107</v>
      </c>
      <c r="D62" s="3" t="s">
        <v>1108</v>
      </c>
      <c r="E62" s="3" t="s">
        <v>1109</v>
      </c>
      <c r="F62" s="23" t="s">
        <v>219</v>
      </c>
      <c r="G62" s="3" t="s">
        <v>1110</v>
      </c>
      <c r="H62" s="23" t="s">
        <v>219</v>
      </c>
      <c r="I62" s="3" t="s">
        <v>1111</v>
      </c>
      <c r="J62" s="23" t="s">
        <v>277</v>
      </c>
      <c r="K62" s="23" t="s">
        <v>221</v>
      </c>
      <c r="L62" s="3" t="s">
        <v>1112</v>
      </c>
    </row>
    <row r="63" spans="2:12" ht="54.75" customHeight="1" x14ac:dyDescent="0.3">
      <c r="B63" s="16" t="s">
        <v>169</v>
      </c>
      <c r="C63" s="3" t="s">
        <v>1113</v>
      </c>
      <c r="D63" s="3" t="s">
        <v>1114</v>
      </c>
      <c r="E63" s="23" t="s">
        <v>225</v>
      </c>
      <c r="F63" s="23" t="s">
        <v>228</v>
      </c>
      <c r="G63" s="23" t="s">
        <v>228</v>
      </c>
      <c r="H63" s="23" t="s">
        <v>228</v>
      </c>
      <c r="I63" s="23" t="s">
        <v>229</v>
      </c>
      <c r="J63" s="23" t="s">
        <v>229</v>
      </c>
      <c r="K63" s="23" t="s">
        <v>221</v>
      </c>
      <c r="L63" s="23" t="s">
        <v>229</v>
      </c>
    </row>
    <row r="64" spans="2:12" ht="27" customHeight="1" x14ac:dyDescent="0.3">
      <c r="B64" s="16" t="s">
        <v>231</v>
      </c>
      <c r="C64" s="23" t="s">
        <v>219</v>
      </c>
      <c r="D64" s="23" t="s">
        <v>219</v>
      </c>
      <c r="E64" s="23" t="s">
        <v>256</v>
      </c>
      <c r="F64" s="23" t="s">
        <v>219</v>
      </c>
      <c r="G64" s="23" t="s">
        <v>219</v>
      </c>
      <c r="H64" s="23" t="s">
        <v>219</v>
      </c>
      <c r="I64" s="23" t="s">
        <v>232</v>
      </c>
      <c r="J64" s="23" t="s">
        <v>232</v>
      </c>
      <c r="K64" s="23" t="s">
        <v>232</v>
      </c>
      <c r="L64" s="23" t="s">
        <v>232</v>
      </c>
    </row>
    <row r="65" spans="2:12" ht="41.25" customHeight="1" x14ac:dyDescent="0.3">
      <c r="B65" s="16" t="s">
        <v>177</v>
      </c>
      <c r="C65" s="23" t="s">
        <v>224</v>
      </c>
      <c r="D65" s="23" t="s">
        <v>1115</v>
      </c>
      <c r="E65" s="23" t="s">
        <v>233</v>
      </c>
      <c r="F65" s="3" t="s">
        <v>1116</v>
      </c>
      <c r="G65" s="23" t="s">
        <v>819</v>
      </c>
      <c r="H65" s="3" t="s">
        <v>1117</v>
      </c>
      <c r="I65" s="23" t="s">
        <v>817</v>
      </c>
      <c r="J65" s="23" t="s">
        <v>817</v>
      </c>
      <c r="K65" s="23" t="s">
        <v>817</v>
      </c>
      <c r="L65" s="23" t="s">
        <v>817</v>
      </c>
    </row>
    <row r="66" spans="2:12" x14ac:dyDescent="0.3">
      <c r="B66" s="16" t="s">
        <v>179</v>
      </c>
      <c r="C66" s="23" t="s">
        <v>1118</v>
      </c>
      <c r="D66" s="23" t="s">
        <v>965</v>
      </c>
      <c r="E66" s="23" t="s">
        <v>965</v>
      </c>
      <c r="F66" s="23" t="s">
        <v>228</v>
      </c>
      <c r="G66" s="23" t="s">
        <v>228</v>
      </c>
      <c r="H66" s="23" t="s">
        <v>228</v>
      </c>
      <c r="I66" s="23" t="s">
        <v>223</v>
      </c>
      <c r="J66" s="23" t="s">
        <v>223</v>
      </c>
      <c r="K66" s="23" t="s">
        <v>223</v>
      </c>
      <c r="L66" s="23" t="s">
        <v>223</v>
      </c>
    </row>
    <row r="67" spans="2:12" ht="41.25" customHeight="1" x14ac:dyDescent="0.3">
      <c r="B67" s="16" t="s">
        <v>238</v>
      </c>
      <c r="C67" s="23" t="s">
        <v>240</v>
      </c>
      <c r="D67" s="23" t="s">
        <v>965</v>
      </c>
      <c r="E67" s="23" t="s">
        <v>1119</v>
      </c>
      <c r="F67" s="3" t="s">
        <v>1120</v>
      </c>
      <c r="G67" s="3" t="s">
        <v>1121</v>
      </c>
      <c r="H67" s="23" t="s">
        <v>239</v>
      </c>
      <c r="I67" s="23" t="s">
        <v>239</v>
      </c>
      <c r="J67" s="23" t="s">
        <v>239</v>
      </c>
      <c r="K67" s="23" t="s">
        <v>239</v>
      </c>
      <c r="L67" s="23" t="s">
        <v>239</v>
      </c>
    </row>
    <row r="68" spans="2:12" ht="27" customHeight="1" x14ac:dyDescent="0.3">
      <c r="B68" s="16" t="s">
        <v>181</v>
      </c>
      <c r="C68" s="23" t="s">
        <v>228</v>
      </c>
      <c r="D68" s="23" t="s">
        <v>232</v>
      </c>
      <c r="E68" s="23" t="s">
        <v>232</v>
      </c>
      <c r="F68" s="23" t="s">
        <v>232</v>
      </c>
      <c r="G68" s="23" t="s">
        <v>232</v>
      </c>
      <c r="H68" s="23" t="s">
        <v>232</v>
      </c>
      <c r="I68" s="23" t="s">
        <v>232</v>
      </c>
      <c r="J68" s="23" t="s">
        <v>232</v>
      </c>
      <c r="K68" s="23" t="s">
        <v>232</v>
      </c>
      <c r="L68" s="23" t="s">
        <v>232</v>
      </c>
    </row>
    <row r="69" spans="2:12" ht="27" customHeight="1" x14ac:dyDescent="0.3">
      <c r="B69" s="16" t="s">
        <v>183</v>
      </c>
      <c r="C69" s="23" t="s">
        <v>228</v>
      </c>
      <c r="D69" s="23" t="s">
        <v>228</v>
      </c>
      <c r="E69" s="23" t="s">
        <v>228</v>
      </c>
      <c r="F69" s="23" t="s">
        <v>228</v>
      </c>
      <c r="G69" s="23" t="s">
        <v>228</v>
      </c>
      <c r="H69" s="23" t="s">
        <v>228</v>
      </c>
      <c r="I69" s="23" t="s">
        <v>232</v>
      </c>
      <c r="J69" s="23" t="s">
        <v>232</v>
      </c>
      <c r="K69" s="23" t="s">
        <v>232</v>
      </c>
      <c r="L69" s="23" t="s">
        <v>232</v>
      </c>
    </row>
    <row r="70" spans="2:12" ht="192.75" customHeight="1" x14ac:dyDescent="0.3">
      <c r="B70" s="16" t="s">
        <v>243</v>
      </c>
      <c r="C70" s="3" t="s">
        <v>1122</v>
      </c>
      <c r="D70" s="3" t="s">
        <v>1123</v>
      </c>
      <c r="E70" s="3" t="s">
        <v>1124</v>
      </c>
      <c r="F70" s="3" t="s">
        <v>1125</v>
      </c>
      <c r="G70" s="3" t="s">
        <v>1126</v>
      </c>
      <c r="H70" s="3" t="s">
        <v>1127</v>
      </c>
      <c r="I70" s="3" t="s">
        <v>1128</v>
      </c>
      <c r="J70" s="3" t="s">
        <v>1129</v>
      </c>
      <c r="K70" s="3" t="s">
        <v>1130</v>
      </c>
      <c r="L70" s="3" t="s">
        <v>1131</v>
      </c>
    </row>
    <row r="71" spans="2:12" x14ac:dyDescent="0.3">
      <c r="B71" s="56"/>
      <c r="C71" s="9"/>
      <c r="D71" s="9"/>
      <c r="E71" s="9"/>
      <c r="F71" s="9"/>
      <c r="G71" s="9"/>
      <c r="H71" s="9"/>
      <c r="I71" s="9"/>
      <c r="J71" s="9"/>
      <c r="K71" s="9"/>
      <c r="L71" s="9"/>
    </row>
    <row r="72" spans="2:12" ht="14.25" customHeight="1" x14ac:dyDescent="0.3">
      <c r="B72" s="60" t="s">
        <v>254</v>
      </c>
      <c r="C72" s="60"/>
      <c r="D72" s="60"/>
      <c r="E72" s="60"/>
      <c r="F72" s="60"/>
      <c r="G72" s="60"/>
      <c r="H72" s="60"/>
      <c r="I72" s="60"/>
      <c r="J72" s="60"/>
    </row>
    <row r="73" spans="2:12" ht="41.25" customHeight="1" x14ac:dyDescent="0.3">
      <c r="B73" s="22" t="s">
        <v>255</v>
      </c>
      <c r="C73" s="22" t="s">
        <v>167</v>
      </c>
      <c r="D73" s="22" t="s">
        <v>169</v>
      </c>
      <c r="E73" s="22" t="s">
        <v>171</v>
      </c>
      <c r="F73" s="22" t="s">
        <v>177</v>
      </c>
      <c r="G73" s="22" t="s">
        <v>179</v>
      </c>
      <c r="H73" s="22" t="s">
        <v>175</v>
      </c>
      <c r="I73" s="22" t="s">
        <v>181</v>
      </c>
      <c r="J73" s="22" t="s">
        <v>183</v>
      </c>
    </row>
    <row r="74" spans="2:12" ht="27" customHeight="1" x14ac:dyDescent="0.3">
      <c r="B74" s="31">
        <v>1</v>
      </c>
      <c r="C74" s="23" t="s">
        <v>219</v>
      </c>
      <c r="D74" s="3" t="s">
        <v>1132</v>
      </c>
      <c r="E74" s="23" t="s">
        <v>219</v>
      </c>
      <c r="F74" s="23" t="s">
        <v>224</v>
      </c>
      <c r="G74" s="23" t="s">
        <v>1118</v>
      </c>
      <c r="H74" s="23" t="s">
        <v>240</v>
      </c>
      <c r="I74" s="23" t="s">
        <v>228</v>
      </c>
      <c r="J74" s="23" t="s">
        <v>228</v>
      </c>
    </row>
    <row r="75" spans="2:12" ht="41.25" customHeight="1" x14ac:dyDescent="0.3">
      <c r="B75" s="31">
        <v>2</v>
      </c>
      <c r="C75" s="23" t="s">
        <v>258</v>
      </c>
      <c r="D75" s="3" t="s">
        <v>1133</v>
      </c>
      <c r="E75" s="23" t="s">
        <v>219</v>
      </c>
      <c r="F75" s="23" t="s">
        <v>1134</v>
      </c>
      <c r="G75" s="23" t="s">
        <v>965</v>
      </c>
      <c r="H75" s="23" t="s">
        <v>965</v>
      </c>
      <c r="I75" s="23" t="s">
        <v>232</v>
      </c>
      <c r="J75" s="23" t="s">
        <v>228</v>
      </c>
    </row>
    <row r="76" spans="2:12" x14ac:dyDescent="0.3">
      <c r="B76" s="31">
        <v>3</v>
      </c>
      <c r="C76" s="23" t="s">
        <v>223</v>
      </c>
      <c r="D76" s="23" t="s">
        <v>225</v>
      </c>
      <c r="E76" s="23" t="s">
        <v>256</v>
      </c>
      <c r="F76" s="23" t="s">
        <v>1135</v>
      </c>
      <c r="G76" s="23" t="s">
        <v>965</v>
      </c>
      <c r="H76" s="23" t="s">
        <v>1119</v>
      </c>
      <c r="I76" s="23" t="s">
        <v>232</v>
      </c>
      <c r="J76" s="23" t="s">
        <v>228</v>
      </c>
    </row>
    <row r="77" spans="2:12" ht="41.25" customHeight="1" x14ac:dyDescent="0.3">
      <c r="B77" s="31">
        <v>4</v>
      </c>
      <c r="C77" s="23" t="s">
        <v>219</v>
      </c>
      <c r="D77" s="23" t="s">
        <v>228</v>
      </c>
      <c r="E77" s="23" t="s">
        <v>219</v>
      </c>
      <c r="F77" s="23" t="s">
        <v>1136</v>
      </c>
      <c r="G77" s="23" t="s">
        <v>228</v>
      </c>
      <c r="H77" s="23" t="s">
        <v>1137</v>
      </c>
      <c r="I77" s="23" t="s">
        <v>232</v>
      </c>
      <c r="J77" s="23" t="s">
        <v>228</v>
      </c>
    </row>
    <row r="78" spans="2:12" ht="27" customHeight="1" x14ac:dyDescent="0.3">
      <c r="B78" s="31">
        <v>5</v>
      </c>
      <c r="C78" s="23" t="s">
        <v>219</v>
      </c>
      <c r="D78" s="23" t="s">
        <v>228</v>
      </c>
      <c r="E78" s="23" t="s">
        <v>219</v>
      </c>
      <c r="F78" s="23" t="s">
        <v>1138</v>
      </c>
      <c r="G78" s="23" t="s">
        <v>228</v>
      </c>
      <c r="H78" s="23" t="s">
        <v>1139</v>
      </c>
      <c r="I78" s="23" t="s">
        <v>232</v>
      </c>
      <c r="J78" s="23" t="s">
        <v>228</v>
      </c>
    </row>
    <row r="79" spans="2:12" ht="27" customHeight="1" x14ac:dyDescent="0.3">
      <c r="B79" s="31">
        <v>6</v>
      </c>
      <c r="C79" s="23" t="s">
        <v>219</v>
      </c>
      <c r="D79" s="23" t="s">
        <v>228</v>
      </c>
      <c r="E79" s="23" t="s">
        <v>219</v>
      </c>
      <c r="F79" s="23" t="s">
        <v>1140</v>
      </c>
      <c r="G79" s="23" t="s">
        <v>228</v>
      </c>
      <c r="H79" s="23" t="s">
        <v>239</v>
      </c>
      <c r="I79" s="23" t="s">
        <v>232</v>
      </c>
      <c r="J79" s="23" t="s">
        <v>228</v>
      </c>
    </row>
    <row r="80" spans="2:12" ht="27" customHeight="1" x14ac:dyDescent="0.3">
      <c r="B80" s="31">
        <v>7</v>
      </c>
      <c r="C80" s="23" t="s">
        <v>223</v>
      </c>
      <c r="D80" s="23" t="s">
        <v>229</v>
      </c>
      <c r="E80" s="23" t="s">
        <v>232</v>
      </c>
      <c r="F80" s="23" t="s">
        <v>978</v>
      </c>
      <c r="G80" s="23" t="s">
        <v>223</v>
      </c>
      <c r="H80" s="23" t="s">
        <v>239</v>
      </c>
      <c r="I80" s="23" t="s">
        <v>232</v>
      </c>
      <c r="J80" s="23" t="s">
        <v>232</v>
      </c>
    </row>
    <row r="81" spans="2:10" ht="27" customHeight="1" x14ac:dyDescent="0.3">
      <c r="B81" s="31">
        <v>8</v>
      </c>
      <c r="C81" s="23" t="s">
        <v>277</v>
      </c>
      <c r="D81" s="23" t="s">
        <v>229</v>
      </c>
      <c r="E81" s="23" t="s">
        <v>232</v>
      </c>
      <c r="F81" s="23" t="s">
        <v>978</v>
      </c>
      <c r="G81" s="23" t="s">
        <v>223</v>
      </c>
      <c r="H81" s="23" t="s">
        <v>239</v>
      </c>
      <c r="I81" s="23" t="s">
        <v>232</v>
      </c>
      <c r="J81" s="23" t="s">
        <v>232</v>
      </c>
    </row>
    <row r="82" spans="2:10" ht="27" customHeight="1" x14ac:dyDescent="0.3">
      <c r="B82" s="31">
        <v>9</v>
      </c>
      <c r="C82" s="23" t="s">
        <v>221</v>
      </c>
      <c r="D82" s="23" t="s">
        <v>221</v>
      </c>
      <c r="E82" s="23" t="s">
        <v>232</v>
      </c>
      <c r="F82" s="23" t="s">
        <v>978</v>
      </c>
      <c r="G82" s="23" t="s">
        <v>223</v>
      </c>
      <c r="H82" s="23" t="s">
        <v>239</v>
      </c>
      <c r="I82" s="23" t="s">
        <v>232</v>
      </c>
      <c r="J82" s="23" t="s">
        <v>232</v>
      </c>
    </row>
    <row r="83" spans="2:10" ht="27" customHeight="1" x14ac:dyDescent="0.3">
      <c r="B83" s="31">
        <v>10</v>
      </c>
      <c r="C83" s="23" t="s">
        <v>221</v>
      </c>
      <c r="D83" s="23" t="s">
        <v>229</v>
      </c>
      <c r="E83" s="23" t="s">
        <v>232</v>
      </c>
      <c r="F83" s="23" t="s">
        <v>978</v>
      </c>
      <c r="G83" s="23" t="s">
        <v>223</v>
      </c>
      <c r="H83" s="23" t="s">
        <v>239</v>
      </c>
      <c r="I83" s="23" t="s">
        <v>232</v>
      </c>
      <c r="J83" s="23" t="s">
        <v>232</v>
      </c>
    </row>
    <row r="85" spans="2:10" ht="62.25" customHeight="1" x14ac:dyDescent="0.3">
      <c r="B85" s="17" t="s">
        <v>264</v>
      </c>
      <c r="C85" s="34"/>
      <c r="D85" s="34"/>
      <c r="E85" s="34"/>
      <c r="F85" s="34"/>
      <c r="G85" s="34"/>
    </row>
    <row r="86" spans="2:10" ht="27" customHeight="1" x14ac:dyDescent="0.3">
      <c r="B86" s="26" t="s">
        <v>196</v>
      </c>
      <c r="C86" s="26" t="s">
        <v>689</v>
      </c>
      <c r="D86" s="26">
        <v>12</v>
      </c>
      <c r="E86" s="26">
        <v>13</v>
      </c>
      <c r="F86" s="26">
        <v>14</v>
      </c>
      <c r="G86" s="26">
        <v>15</v>
      </c>
    </row>
    <row r="87" spans="2:10" ht="82.5" customHeight="1" x14ac:dyDescent="0.3">
      <c r="B87" s="27" t="s">
        <v>130</v>
      </c>
      <c r="C87" s="27" t="s">
        <v>1141</v>
      </c>
      <c r="D87" s="27" t="s">
        <v>1142</v>
      </c>
      <c r="E87" s="27" t="s">
        <v>1143</v>
      </c>
      <c r="F87" s="27" t="s">
        <v>1144</v>
      </c>
      <c r="G87" s="27" t="s">
        <v>1145</v>
      </c>
    </row>
    <row r="88" spans="2:10" ht="216" customHeight="1" x14ac:dyDescent="0.3">
      <c r="B88" s="16" t="s">
        <v>208</v>
      </c>
      <c r="C88" s="35" t="s">
        <v>1146</v>
      </c>
      <c r="D88" s="35" t="s">
        <v>1147</v>
      </c>
      <c r="E88" s="35" t="s">
        <v>1148</v>
      </c>
      <c r="F88" s="35" t="s">
        <v>1149</v>
      </c>
      <c r="G88" s="35" t="s">
        <v>1150</v>
      </c>
    </row>
    <row r="89" spans="2:10" x14ac:dyDescent="0.3">
      <c r="B89" s="16" t="s">
        <v>167</v>
      </c>
      <c r="C89" s="35" t="s">
        <v>223</v>
      </c>
      <c r="D89" s="25" t="s">
        <v>221</v>
      </c>
      <c r="E89" s="35" t="s">
        <v>277</v>
      </c>
      <c r="F89" s="35" t="s">
        <v>221</v>
      </c>
      <c r="G89" s="25" t="s">
        <v>219</v>
      </c>
    </row>
    <row r="90" spans="2:10" x14ac:dyDescent="0.3">
      <c r="B90" s="16" t="s">
        <v>169</v>
      </c>
      <c r="C90" s="35" t="s">
        <v>229</v>
      </c>
      <c r="D90" s="36" t="s">
        <v>221</v>
      </c>
      <c r="E90" s="35" t="s">
        <v>221</v>
      </c>
      <c r="F90" s="35" t="s">
        <v>221</v>
      </c>
      <c r="G90" s="35" t="s">
        <v>278</v>
      </c>
    </row>
    <row r="91" spans="2:10" ht="27" customHeight="1" x14ac:dyDescent="0.3">
      <c r="B91" s="16" t="s">
        <v>231</v>
      </c>
      <c r="C91" s="25" t="s">
        <v>232</v>
      </c>
      <c r="D91" s="35" t="s">
        <v>232</v>
      </c>
      <c r="E91" s="35" t="s">
        <v>219</v>
      </c>
      <c r="F91" s="35" t="s">
        <v>233</v>
      </c>
      <c r="G91" s="35" t="s">
        <v>232</v>
      </c>
    </row>
    <row r="92" spans="2:10" ht="42.75" customHeight="1" x14ac:dyDescent="0.3">
      <c r="B92" s="16" t="s">
        <v>177</v>
      </c>
      <c r="C92" s="25" t="s">
        <v>279</v>
      </c>
      <c r="D92" s="35" t="s">
        <v>279</v>
      </c>
      <c r="E92" s="35" t="s">
        <v>279</v>
      </c>
      <c r="F92" s="35" t="s">
        <v>233</v>
      </c>
      <c r="G92" s="35" t="s">
        <v>280</v>
      </c>
    </row>
    <row r="93" spans="2:10" ht="28.5" customHeight="1" x14ac:dyDescent="0.3">
      <c r="B93" s="16" t="s">
        <v>179</v>
      </c>
      <c r="C93" s="25" t="s">
        <v>223</v>
      </c>
      <c r="D93" s="35" t="s">
        <v>223</v>
      </c>
      <c r="E93" s="35" t="s">
        <v>449</v>
      </c>
      <c r="F93" s="35" t="s">
        <v>223</v>
      </c>
      <c r="G93" s="35" t="s">
        <v>223</v>
      </c>
    </row>
    <row r="94" spans="2:10" ht="41.25" customHeight="1" x14ac:dyDescent="0.3">
      <c r="B94" s="16" t="s">
        <v>238</v>
      </c>
      <c r="C94" s="25" t="s">
        <v>239</v>
      </c>
      <c r="D94" s="35" t="s">
        <v>239</v>
      </c>
      <c r="E94" s="35" t="s">
        <v>239</v>
      </c>
      <c r="F94" s="35" t="s">
        <v>239</v>
      </c>
      <c r="G94" s="35" t="s">
        <v>239</v>
      </c>
    </row>
    <row r="95" spans="2:10" ht="27" customHeight="1" x14ac:dyDescent="0.3">
      <c r="B95" s="16" t="s">
        <v>181</v>
      </c>
      <c r="C95" s="25" t="s">
        <v>232</v>
      </c>
      <c r="D95" s="35" t="s">
        <v>232</v>
      </c>
      <c r="E95" s="35" t="s">
        <v>450</v>
      </c>
      <c r="F95" s="35" t="s">
        <v>232</v>
      </c>
      <c r="G95" s="35" t="s">
        <v>232</v>
      </c>
    </row>
    <row r="96" spans="2:10" ht="27" customHeight="1" x14ac:dyDescent="0.3">
      <c r="B96" s="16" t="s">
        <v>183</v>
      </c>
      <c r="C96" s="25" t="s">
        <v>232</v>
      </c>
      <c r="D96" s="35" t="s">
        <v>232</v>
      </c>
      <c r="E96" s="35" t="s">
        <v>232</v>
      </c>
      <c r="F96" s="35" t="s">
        <v>232</v>
      </c>
      <c r="G96" s="25" t="s">
        <v>232</v>
      </c>
    </row>
    <row r="97" spans="2:10" ht="216" customHeight="1" x14ac:dyDescent="0.3">
      <c r="B97" s="16" t="s">
        <v>243</v>
      </c>
      <c r="C97" s="35" t="s">
        <v>1151</v>
      </c>
      <c r="D97" s="35" t="s">
        <v>1152</v>
      </c>
      <c r="E97" s="35" t="s">
        <v>1153</v>
      </c>
      <c r="F97" s="35" t="s">
        <v>1154</v>
      </c>
      <c r="G97" s="35" t="s">
        <v>1155</v>
      </c>
    </row>
    <row r="100" spans="2:10" ht="14.25" customHeight="1" x14ac:dyDescent="0.3">
      <c r="B100" s="60" t="s">
        <v>581</v>
      </c>
      <c r="C100" s="60"/>
      <c r="D100" s="60"/>
      <c r="E100" s="60"/>
      <c r="F100" s="60"/>
      <c r="G100" s="60"/>
      <c r="H100" s="60"/>
      <c r="I100" s="60"/>
      <c r="J100" s="60"/>
    </row>
    <row r="101" spans="2:10" ht="41.25" customHeight="1" x14ac:dyDescent="0.3">
      <c r="B101" s="22" t="s">
        <v>255</v>
      </c>
      <c r="C101" s="22" t="s">
        <v>167</v>
      </c>
      <c r="D101" s="22" t="s">
        <v>169</v>
      </c>
      <c r="E101" s="22" t="s">
        <v>171</v>
      </c>
      <c r="F101" s="22" t="s">
        <v>177</v>
      </c>
      <c r="G101" s="22" t="s">
        <v>179</v>
      </c>
      <c r="H101" s="22" t="s">
        <v>175</v>
      </c>
      <c r="I101" s="22" t="s">
        <v>181</v>
      </c>
      <c r="J101" s="22" t="s">
        <v>183</v>
      </c>
    </row>
    <row r="102" spans="2:10" ht="28.5" customHeight="1" x14ac:dyDescent="0.3">
      <c r="B102" s="44">
        <v>11</v>
      </c>
      <c r="C102" s="44" t="s">
        <v>223</v>
      </c>
      <c r="D102" s="44" t="s">
        <v>229</v>
      </c>
      <c r="E102" s="44" t="s">
        <v>232</v>
      </c>
      <c r="F102" s="44" t="s">
        <v>583</v>
      </c>
      <c r="G102" s="37" t="s">
        <v>223</v>
      </c>
      <c r="H102" s="37" t="s">
        <v>239</v>
      </c>
      <c r="I102" s="37" t="s">
        <v>232</v>
      </c>
      <c r="J102" s="37" t="s">
        <v>232</v>
      </c>
    </row>
    <row r="103" spans="2:10" ht="28.5" customHeight="1" x14ac:dyDescent="0.3">
      <c r="B103" s="44">
        <v>12</v>
      </c>
      <c r="C103" s="44" t="s">
        <v>221</v>
      </c>
      <c r="D103" s="44" t="s">
        <v>221</v>
      </c>
      <c r="E103" s="44" t="s">
        <v>232</v>
      </c>
      <c r="F103" s="44" t="s">
        <v>583</v>
      </c>
      <c r="G103" s="37" t="s">
        <v>223</v>
      </c>
      <c r="H103" s="37" t="s">
        <v>239</v>
      </c>
      <c r="I103" s="37" t="s">
        <v>232</v>
      </c>
      <c r="J103" s="37" t="s">
        <v>232</v>
      </c>
    </row>
    <row r="104" spans="2:10" ht="28.5" customHeight="1" x14ac:dyDescent="0.3">
      <c r="B104" s="44">
        <v>13</v>
      </c>
      <c r="C104" s="44" t="s">
        <v>277</v>
      </c>
      <c r="D104" s="44" t="s">
        <v>221</v>
      </c>
      <c r="E104" s="44" t="s">
        <v>219</v>
      </c>
      <c r="F104" s="44" t="s">
        <v>583</v>
      </c>
      <c r="G104" s="37" t="s">
        <v>584</v>
      </c>
      <c r="H104" s="37" t="s">
        <v>239</v>
      </c>
      <c r="I104" s="37" t="s">
        <v>450</v>
      </c>
      <c r="J104" s="37" t="s">
        <v>232</v>
      </c>
    </row>
    <row r="105" spans="2:10" x14ac:dyDescent="0.3">
      <c r="B105" s="44">
        <v>14</v>
      </c>
      <c r="C105" s="44" t="s">
        <v>221</v>
      </c>
      <c r="D105" s="44" t="s">
        <v>221</v>
      </c>
      <c r="E105" s="44" t="s">
        <v>233</v>
      </c>
      <c r="F105" s="44" t="s">
        <v>233</v>
      </c>
      <c r="G105" s="37" t="s">
        <v>223</v>
      </c>
      <c r="H105" s="37" t="s">
        <v>239</v>
      </c>
      <c r="I105" s="37" t="s">
        <v>232</v>
      </c>
      <c r="J105" s="37" t="s">
        <v>232</v>
      </c>
    </row>
    <row r="106" spans="2:10" x14ac:dyDescent="0.3">
      <c r="B106" s="44">
        <v>15</v>
      </c>
      <c r="C106" s="44" t="s">
        <v>219</v>
      </c>
      <c r="D106" s="44" t="s">
        <v>278</v>
      </c>
      <c r="E106" s="44" t="s">
        <v>232</v>
      </c>
      <c r="F106" s="44" t="s">
        <v>233</v>
      </c>
      <c r="G106" s="37" t="s">
        <v>223</v>
      </c>
      <c r="H106" s="37" t="s">
        <v>225</v>
      </c>
      <c r="I106" s="37" t="s">
        <v>232</v>
      </c>
      <c r="J106" s="37" t="s">
        <v>232</v>
      </c>
    </row>
    <row r="107" spans="2:10" ht="28.5" customHeight="1" x14ac:dyDescent="0.3">
      <c r="B107" s="44">
        <v>16</v>
      </c>
      <c r="C107" s="44" t="s">
        <v>221</v>
      </c>
      <c r="D107" s="44" t="s">
        <v>221</v>
      </c>
      <c r="E107" s="44" t="s">
        <v>232</v>
      </c>
      <c r="F107" s="44" t="s">
        <v>583</v>
      </c>
      <c r="G107" s="37" t="s">
        <v>223</v>
      </c>
      <c r="H107" s="37" t="s">
        <v>239</v>
      </c>
      <c r="I107" s="37" t="s">
        <v>232</v>
      </c>
      <c r="J107" s="37" t="s">
        <v>232</v>
      </c>
    </row>
    <row r="108" spans="2:10" ht="28.5" customHeight="1" x14ac:dyDescent="0.3">
      <c r="B108" s="44">
        <v>17</v>
      </c>
      <c r="C108" s="44" t="s">
        <v>219</v>
      </c>
      <c r="D108" s="44" t="s">
        <v>278</v>
      </c>
      <c r="E108" s="44" t="s">
        <v>232</v>
      </c>
      <c r="F108" s="44" t="s">
        <v>280</v>
      </c>
      <c r="G108" s="37" t="s">
        <v>223</v>
      </c>
      <c r="H108" s="37" t="s">
        <v>239</v>
      </c>
      <c r="I108" s="37" t="s">
        <v>232</v>
      </c>
      <c r="J108" s="37" t="s">
        <v>232</v>
      </c>
    </row>
    <row r="110" spans="2:10" ht="14.25" customHeight="1" x14ac:dyDescent="0.3">
      <c r="B110" s="60" t="s">
        <v>288</v>
      </c>
      <c r="C110" s="60"/>
      <c r="D110" s="60"/>
      <c r="E110" s="60"/>
      <c r="F110" s="60"/>
      <c r="G110" s="60"/>
      <c r="H110" s="60"/>
      <c r="I110" s="60"/>
      <c r="J110" s="60"/>
    </row>
    <row r="111" spans="2:10" ht="41.25" customHeight="1" x14ac:dyDescent="0.3">
      <c r="B111" s="22" t="s">
        <v>289</v>
      </c>
      <c r="C111" s="22" t="s">
        <v>1156</v>
      </c>
      <c r="D111" s="22" t="s">
        <v>1157</v>
      </c>
      <c r="E111" s="22" t="s">
        <v>1158</v>
      </c>
      <c r="F111" s="22" t="s">
        <v>1159</v>
      </c>
      <c r="G111" s="22" t="s">
        <v>1160</v>
      </c>
      <c r="H111" s="22" t="s">
        <v>157</v>
      </c>
      <c r="I111" s="22" t="s">
        <v>173</v>
      </c>
      <c r="J111" s="22" t="s">
        <v>1161</v>
      </c>
    </row>
    <row r="112" spans="2:10" ht="41.25" customHeight="1" x14ac:dyDescent="0.3">
      <c r="B112" s="31">
        <v>1</v>
      </c>
      <c r="C112" s="23" t="s">
        <v>1162</v>
      </c>
      <c r="D112" s="23" t="s">
        <v>1163</v>
      </c>
      <c r="E112" s="3" t="s">
        <v>1164</v>
      </c>
      <c r="F112" s="23" t="s">
        <v>1165</v>
      </c>
      <c r="G112" s="23" t="s">
        <v>1166</v>
      </c>
      <c r="H112" s="3" t="s">
        <v>1167</v>
      </c>
      <c r="I112" s="23" t="s">
        <v>219</v>
      </c>
      <c r="J112" s="44" t="s">
        <v>223</v>
      </c>
    </row>
    <row r="113" spans="2:10" ht="41.25" customHeight="1" x14ac:dyDescent="0.3">
      <c r="B113" s="31">
        <v>2</v>
      </c>
      <c r="C113" s="23" t="s">
        <v>1168</v>
      </c>
      <c r="D113" s="3" t="s">
        <v>1169</v>
      </c>
      <c r="E113" s="3" t="s">
        <v>1170</v>
      </c>
      <c r="F113" s="23" t="s">
        <v>1171</v>
      </c>
      <c r="G113" s="23" t="s">
        <v>1172</v>
      </c>
      <c r="H113" s="3" t="s">
        <v>1173</v>
      </c>
      <c r="I113" s="3" t="s">
        <v>1174</v>
      </c>
      <c r="J113" s="44" t="s">
        <v>850</v>
      </c>
    </row>
    <row r="114" spans="2:10" ht="41.25" customHeight="1" x14ac:dyDescent="0.3">
      <c r="B114" s="31">
        <v>3</v>
      </c>
      <c r="C114" s="23" t="s">
        <v>1175</v>
      </c>
      <c r="D114" s="23" t="s">
        <v>1176</v>
      </c>
      <c r="E114" s="23" t="s">
        <v>1177</v>
      </c>
      <c r="F114" s="23" t="s">
        <v>1177</v>
      </c>
      <c r="G114" s="3" t="s">
        <v>1178</v>
      </c>
      <c r="H114" s="3" t="s">
        <v>1179</v>
      </c>
      <c r="I114" s="23" t="s">
        <v>1180</v>
      </c>
      <c r="J114" s="35" t="s">
        <v>1181</v>
      </c>
    </row>
    <row r="115" spans="2:10" ht="41.25" customHeight="1" x14ac:dyDescent="0.3">
      <c r="B115" s="31">
        <v>4</v>
      </c>
      <c r="C115" s="23" t="s">
        <v>1182</v>
      </c>
      <c r="D115" s="23" t="s">
        <v>1183</v>
      </c>
      <c r="E115" s="3" t="s">
        <v>1184</v>
      </c>
      <c r="F115" s="23" t="s">
        <v>1185</v>
      </c>
      <c r="G115" s="3" t="s">
        <v>1186</v>
      </c>
      <c r="H115" s="3" t="s">
        <v>1187</v>
      </c>
      <c r="I115" s="23" t="s">
        <v>219</v>
      </c>
      <c r="J115" s="35" t="s">
        <v>1188</v>
      </c>
    </row>
    <row r="117" spans="2:10" ht="14.25" customHeight="1" x14ac:dyDescent="0.3">
      <c r="B117" s="61" t="s">
        <v>306</v>
      </c>
      <c r="C117" s="61"/>
      <c r="D117" s="61"/>
      <c r="E117" s="61"/>
      <c r="F117" s="61"/>
      <c r="G117" s="61"/>
      <c r="H117" s="61"/>
    </row>
    <row r="118" spans="2:10" ht="41.25" customHeight="1" x14ac:dyDescent="0.3">
      <c r="B118" s="27" t="s">
        <v>255</v>
      </c>
      <c r="C118" s="27" t="s">
        <v>167</v>
      </c>
      <c r="D118" s="27" t="s">
        <v>307</v>
      </c>
      <c r="E118" s="27" t="s">
        <v>308</v>
      </c>
      <c r="F118" s="27" t="s">
        <v>309</v>
      </c>
      <c r="G118" s="27" t="s">
        <v>181</v>
      </c>
      <c r="H118" s="27" t="s">
        <v>310</v>
      </c>
    </row>
    <row r="119" spans="2:10" ht="27" customHeight="1" x14ac:dyDescent="0.3">
      <c r="B119" s="22" t="s">
        <v>255</v>
      </c>
      <c r="C119" s="22" t="s">
        <v>167</v>
      </c>
      <c r="D119" s="22" t="s">
        <v>311</v>
      </c>
      <c r="E119" s="22" t="s">
        <v>308</v>
      </c>
      <c r="F119" s="22" t="s">
        <v>312</v>
      </c>
      <c r="G119" s="22" t="s">
        <v>181</v>
      </c>
      <c r="H119" s="22" t="s">
        <v>313</v>
      </c>
    </row>
    <row r="120" spans="2:10" x14ac:dyDescent="0.3">
      <c r="B120" s="31">
        <v>1</v>
      </c>
      <c r="C120" s="23">
        <v>5</v>
      </c>
      <c r="D120" s="23">
        <v>4</v>
      </c>
      <c r="E120" s="23">
        <v>5</v>
      </c>
      <c r="F120" s="23">
        <v>5</v>
      </c>
      <c r="G120" s="23">
        <v>3</v>
      </c>
      <c r="H120" s="39">
        <f t="shared" ref="H120:H129" si="0">AVERAGE(C120:G120)</f>
        <v>4.4000000000000004</v>
      </c>
    </row>
    <row r="121" spans="2:10" x14ac:dyDescent="0.3">
      <c r="B121" s="31">
        <v>2</v>
      </c>
      <c r="C121" s="23">
        <v>5</v>
      </c>
      <c r="D121" s="23">
        <v>4</v>
      </c>
      <c r="E121" s="23">
        <v>5</v>
      </c>
      <c r="F121" s="23">
        <v>5</v>
      </c>
      <c r="G121" s="23">
        <v>3</v>
      </c>
      <c r="H121" s="39">
        <f t="shared" si="0"/>
        <v>4.4000000000000004</v>
      </c>
    </row>
    <row r="122" spans="2:10" x14ac:dyDescent="0.3">
      <c r="B122" s="31">
        <v>3</v>
      </c>
      <c r="C122" s="23">
        <v>3</v>
      </c>
      <c r="D122" s="23">
        <v>5</v>
      </c>
      <c r="E122" s="23">
        <v>4</v>
      </c>
      <c r="F122" s="23">
        <v>2</v>
      </c>
      <c r="G122" s="23">
        <v>3</v>
      </c>
      <c r="H122" s="39">
        <f t="shared" si="0"/>
        <v>3.4</v>
      </c>
    </row>
    <row r="123" spans="2:10" x14ac:dyDescent="0.3">
      <c r="B123" s="31">
        <v>4</v>
      </c>
      <c r="C123" s="23">
        <v>4</v>
      </c>
      <c r="D123" s="23">
        <v>5</v>
      </c>
      <c r="E123" s="23">
        <v>5</v>
      </c>
      <c r="F123" s="23">
        <v>4</v>
      </c>
      <c r="G123" s="23">
        <v>3</v>
      </c>
      <c r="H123" s="39">
        <f t="shared" si="0"/>
        <v>4.2</v>
      </c>
    </row>
    <row r="124" spans="2:10" x14ac:dyDescent="0.3">
      <c r="B124" s="31">
        <v>5</v>
      </c>
      <c r="C124" s="23">
        <v>3</v>
      </c>
      <c r="D124" s="23">
        <v>4</v>
      </c>
      <c r="E124" s="23">
        <v>4</v>
      </c>
      <c r="F124" s="23">
        <v>4</v>
      </c>
      <c r="G124" s="23">
        <v>3</v>
      </c>
      <c r="H124" s="39">
        <f t="shared" si="0"/>
        <v>3.6</v>
      </c>
    </row>
    <row r="125" spans="2:10" x14ac:dyDescent="0.3">
      <c r="B125" s="31">
        <v>6</v>
      </c>
      <c r="C125" s="23">
        <v>3</v>
      </c>
      <c r="D125" s="23">
        <v>5</v>
      </c>
      <c r="E125" s="23">
        <v>3</v>
      </c>
      <c r="F125" s="23">
        <v>2</v>
      </c>
      <c r="G125" s="23">
        <v>3</v>
      </c>
      <c r="H125" s="39">
        <f t="shared" si="0"/>
        <v>3.2</v>
      </c>
    </row>
    <row r="126" spans="2:10" x14ac:dyDescent="0.3">
      <c r="B126" s="31">
        <v>7</v>
      </c>
      <c r="C126" s="23">
        <v>3</v>
      </c>
      <c r="D126" s="23">
        <v>4</v>
      </c>
      <c r="E126" s="23">
        <v>4</v>
      </c>
      <c r="F126" s="23">
        <v>3</v>
      </c>
      <c r="G126" s="23">
        <v>3</v>
      </c>
      <c r="H126" s="39">
        <f t="shared" si="0"/>
        <v>3.4</v>
      </c>
    </row>
    <row r="127" spans="2:10" x14ac:dyDescent="0.3">
      <c r="B127" s="31">
        <v>8</v>
      </c>
      <c r="C127" s="23">
        <v>5</v>
      </c>
      <c r="D127" s="23">
        <v>3</v>
      </c>
      <c r="E127" s="23">
        <v>5</v>
      </c>
      <c r="F127" s="23">
        <v>5</v>
      </c>
      <c r="G127" s="23">
        <v>3</v>
      </c>
      <c r="H127" s="39">
        <f t="shared" si="0"/>
        <v>4.2</v>
      </c>
    </row>
    <row r="128" spans="2:10" x14ac:dyDescent="0.3">
      <c r="B128" s="31">
        <v>9</v>
      </c>
      <c r="C128" s="23">
        <v>2</v>
      </c>
      <c r="D128" s="23">
        <v>3</v>
      </c>
      <c r="E128" s="23">
        <v>3</v>
      </c>
      <c r="F128" s="23">
        <v>3</v>
      </c>
      <c r="G128" s="23">
        <v>3</v>
      </c>
      <c r="H128" s="39">
        <f t="shared" si="0"/>
        <v>2.8</v>
      </c>
    </row>
    <row r="129" spans="2:8" x14ac:dyDescent="0.3">
      <c r="B129" s="31">
        <v>10</v>
      </c>
      <c r="C129" s="23">
        <v>3</v>
      </c>
      <c r="D129" s="23">
        <v>1</v>
      </c>
      <c r="E129" s="23">
        <v>4</v>
      </c>
      <c r="F129" s="23">
        <v>5</v>
      </c>
      <c r="G129" s="23">
        <v>3</v>
      </c>
      <c r="H129" s="39">
        <f t="shared" si="0"/>
        <v>3.2</v>
      </c>
    </row>
  </sheetData>
  <mergeCells count="27">
    <mergeCell ref="B1:E1"/>
    <mergeCell ref="C2:E2"/>
    <mergeCell ref="C3:E3"/>
    <mergeCell ref="C4:E4"/>
    <mergeCell ref="C5:E5"/>
    <mergeCell ref="C6:E6"/>
    <mergeCell ref="C7:E7"/>
    <mergeCell ref="B10:E10"/>
    <mergeCell ref="C11:E11"/>
    <mergeCell ref="C12:E12"/>
    <mergeCell ref="C13:E13"/>
    <mergeCell ref="C14:E14"/>
    <mergeCell ref="C15:E15"/>
    <mergeCell ref="C16:E16"/>
    <mergeCell ref="C17:E17"/>
    <mergeCell ref="C18:E18"/>
    <mergeCell ref="B20:D20"/>
    <mergeCell ref="B30:C30"/>
    <mergeCell ref="B52:E52"/>
    <mergeCell ref="C53:E53"/>
    <mergeCell ref="B110:J110"/>
    <mergeCell ref="B117:H117"/>
    <mergeCell ref="C54:E54"/>
    <mergeCell ref="C55:E55"/>
    <mergeCell ref="C56:E56"/>
    <mergeCell ref="B72:J72"/>
    <mergeCell ref="B100:J100"/>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L133"/>
  <sheetViews>
    <sheetView zoomScale="70" zoomScaleNormal="70" workbookViewId="0">
      <selection activeCell="C138" sqref="C138"/>
    </sheetView>
  </sheetViews>
  <sheetFormatPr defaultColWidth="8.88671875" defaultRowHeight="14.4" x14ac:dyDescent="0.3"/>
  <cols>
    <col min="1" max="1" width="8.88671875" style="13"/>
    <col min="2" max="2" width="26.21875" style="13" customWidth="1"/>
    <col min="3" max="3" width="26.77734375" style="13" customWidth="1"/>
    <col min="4" max="16384" width="8.88671875" style="13"/>
  </cols>
  <sheetData>
    <row r="1" spans="2:5" ht="14.25" customHeight="1" x14ac:dyDescent="0.3">
      <c r="B1" s="62" t="s">
        <v>130</v>
      </c>
      <c r="C1" s="62"/>
      <c r="D1" s="62"/>
      <c r="E1" s="62"/>
    </row>
    <row r="2" spans="2:5" ht="14.25" customHeight="1" x14ac:dyDescent="0.3">
      <c r="B2" s="16" t="s">
        <v>131</v>
      </c>
      <c r="C2" s="68" t="s">
        <v>61</v>
      </c>
      <c r="D2" s="68"/>
      <c r="E2" s="68"/>
    </row>
    <row r="3" spans="2:5" ht="28.35" customHeight="1" x14ac:dyDescent="0.3">
      <c r="B3" s="16" t="s">
        <v>132</v>
      </c>
      <c r="C3" s="68" t="s">
        <v>1189</v>
      </c>
      <c r="D3" s="68"/>
      <c r="E3" s="68"/>
    </row>
    <row r="4" spans="2:5" ht="14.25" customHeight="1" x14ac:dyDescent="0.3">
      <c r="B4" s="16" t="s">
        <v>134</v>
      </c>
      <c r="C4" s="68" t="s">
        <v>1190</v>
      </c>
      <c r="D4" s="68"/>
      <c r="E4" s="68"/>
    </row>
    <row r="5" spans="2:5" ht="68.7" customHeight="1" x14ac:dyDescent="0.3">
      <c r="B5" s="16" t="s">
        <v>136</v>
      </c>
      <c r="C5" s="68" t="s">
        <v>1191</v>
      </c>
      <c r="D5" s="68"/>
      <c r="E5" s="68"/>
    </row>
    <row r="6" spans="2:5" ht="14.25" customHeight="1" x14ac:dyDescent="0.3">
      <c r="B6" s="16" t="s">
        <v>138</v>
      </c>
      <c r="C6" s="68" t="s">
        <v>139</v>
      </c>
      <c r="D6" s="68"/>
      <c r="E6" s="68"/>
    </row>
    <row r="7" spans="2:5" ht="55.2" customHeight="1" x14ac:dyDescent="0.3">
      <c r="B7" s="16" t="s">
        <v>140</v>
      </c>
      <c r="C7" s="68" t="s">
        <v>1192</v>
      </c>
      <c r="D7" s="68"/>
      <c r="E7" s="68"/>
    </row>
    <row r="8" spans="2:5" x14ac:dyDescent="0.3">
      <c r="B8" s="34"/>
      <c r="C8" s="70"/>
      <c r="D8" s="70"/>
      <c r="E8" s="70"/>
    </row>
    <row r="9" spans="2:5" ht="15" customHeight="1" x14ac:dyDescent="0.3">
      <c r="B9" s="17" t="s">
        <v>142</v>
      </c>
      <c r="C9" s="34"/>
      <c r="D9" s="34"/>
      <c r="E9" s="34"/>
    </row>
    <row r="10" spans="2:5" ht="14.25" customHeight="1" x14ac:dyDescent="0.3">
      <c r="B10" s="60" t="s">
        <v>143</v>
      </c>
      <c r="C10" s="60"/>
      <c r="D10" s="60"/>
      <c r="E10" s="60"/>
    </row>
    <row r="11" spans="2:5" ht="27" customHeight="1" x14ac:dyDescent="0.3">
      <c r="B11" s="31" t="s">
        <v>1193</v>
      </c>
      <c r="C11" s="63" t="s">
        <v>1194</v>
      </c>
      <c r="D11" s="63"/>
      <c r="E11" s="63"/>
    </row>
    <row r="12" spans="2:5" ht="41.25" customHeight="1" x14ac:dyDescent="0.3">
      <c r="B12" s="31" t="s">
        <v>1195</v>
      </c>
      <c r="C12" s="63" t="s">
        <v>1196</v>
      </c>
      <c r="D12" s="63"/>
      <c r="E12" s="63"/>
    </row>
    <row r="13" spans="2:5" ht="27" customHeight="1" x14ac:dyDescent="0.3">
      <c r="B13" s="31" t="s">
        <v>1197</v>
      </c>
      <c r="C13" s="63" t="s">
        <v>1198</v>
      </c>
      <c r="D13" s="63"/>
      <c r="E13" s="63"/>
    </row>
    <row r="14" spans="2:5" ht="27" customHeight="1" x14ac:dyDescent="0.3">
      <c r="B14" s="31" t="s">
        <v>1199</v>
      </c>
      <c r="C14" s="63" t="s">
        <v>1200</v>
      </c>
      <c r="D14" s="63"/>
      <c r="E14" s="63"/>
    </row>
    <row r="15" spans="2:5" ht="27" customHeight="1" x14ac:dyDescent="0.3">
      <c r="B15" s="31" t="s">
        <v>1201</v>
      </c>
      <c r="C15" s="63" t="s">
        <v>1202</v>
      </c>
      <c r="D15" s="63"/>
      <c r="E15" s="63"/>
    </row>
    <row r="16" spans="2:5" ht="32.85" customHeight="1" x14ac:dyDescent="0.3">
      <c r="B16" s="31" t="s">
        <v>1203</v>
      </c>
      <c r="C16" s="63" t="s">
        <v>1204</v>
      </c>
      <c r="D16" s="63"/>
      <c r="E16" s="63"/>
    </row>
    <row r="17" spans="2:5" ht="22.35" customHeight="1" x14ac:dyDescent="0.3">
      <c r="B17" s="31" t="s">
        <v>1205</v>
      </c>
      <c r="C17" s="63" t="s">
        <v>1206</v>
      </c>
      <c r="D17" s="63"/>
      <c r="E17" s="63"/>
    </row>
    <row r="19" spans="2:5" ht="14.25" customHeight="1" x14ac:dyDescent="0.3">
      <c r="B19" s="60" t="s">
        <v>152</v>
      </c>
      <c r="C19" s="60"/>
      <c r="D19" s="60"/>
    </row>
    <row r="20" spans="2:5" x14ac:dyDescent="0.3">
      <c r="B20" s="22" t="s">
        <v>153</v>
      </c>
      <c r="C20" s="22" t="s">
        <v>154</v>
      </c>
      <c r="D20" s="22" t="s">
        <v>155</v>
      </c>
    </row>
    <row r="21" spans="2:5" ht="72" customHeight="1" x14ac:dyDescent="0.3">
      <c r="B21" s="41">
        <v>1</v>
      </c>
      <c r="C21" s="3" t="s">
        <v>1207</v>
      </c>
      <c r="D21" s="41" t="s">
        <v>1208</v>
      </c>
    </row>
    <row r="22" spans="2:5" ht="57" customHeight="1" x14ac:dyDescent="0.3">
      <c r="B22" s="41">
        <v>2</v>
      </c>
      <c r="C22" s="3" t="s">
        <v>1209</v>
      </c>
      <c r="D22" s="41" t="s">
        <v>1210</v>
      </c>
    </row>
    <row r="23" spans="2:5" ht="42.75" customHeight="1" x14ac:dyDescent="0.3">
      <c r="B23" s="41">
        <v>3</v>
      </c>
      <c r="C23" s="3" t="s">
        <v>1211</v>
      </c>
      <c r="D23" s="41" t="s">
        <v>1212</v>
      </c>
    </row>
    <row r="24" spans="2:5" ht="57" customHeight="1" x14ac:dyDescent="0.3">
      <c r="B24" s="41">
        <v>4</v>
      </c>
      <c r="C24" s="3" t="s">
        <v>1213</v>
      </c>
      <c r="D24" s="41" t="s">
        <v>1214</v>
      </c>
    </row>
    <row r="25" spans="2:5" ht="42.75" customHeight="1" x14ac:dyDescent="0.3">
      <c r="B25" s="41">
        <v>5</v>
      </c>
      <c r="C25" s="3" t="s">
        <v>1215</v>
      </c>
      <c r="D25" s="41" t="s">
        <v>1216</v>
      </c>
    </row>
    <row r="26" spans="2:5" ht="42.75" customHeight="1" x14ac:dyDescent="0.3">
      <c r="B26" s="41">
        <v>6</v>
      </c>
      <c r="C26" s="3" t="s">
        <v>1217</v>
      </c>
      <c r="D26" s="41" t="s">
        <v>1218</v>
      </c>
    </row>
    <row r="27" spans="2:5" ht="72" customHeight="1" x14ac:dyDescent="0.3">
      <c r="B27" s="41">
        <v>7</v>
      </c>
      <c r="C27" s="3" t="s">
        <v>1219</v>
      </c>
      <c r="D27" s="41" t="s">
        <v>1220</v>
      </c>
    </row>
    <row r="28" spans="2:5" ht="57" customHeight="1" x14ac:dyDescent="0.3">
      <c r="B28" s="41">
        <v>8</v>
      </c>
      <c r="C28" s="3" t="s">
        <v>1221</v>
      </c>
      <c r="D28" s="41" t="s">
        <v>1222</v>
      </c>
    </row>
    <row r="30" spans="2:5" ht="14.25" customHeight="1" x14ac:dyDescent="0.3">
      <c r="B30" s="60" t="s">
        <v>164</v>
      </c>
      <c r="C30" s="60"/>
      <c r="D30" s="18"/>
      <c r="E30" s="18"/>
    </row>
    <row r="31" spans="2:5" x14ac:dyDescent="0.3">
      <c r="B31" s="22" t="s">
        <v>165</v>
      </c>
      <c r="C31" s="22" t="s">
        <v>166</v>
      </c>
      <c r="D31" s="19"/>
      <c r="E31" s="19"/>
    </row>
    <row r="32" spans="2:5" x14ac:dyDescent="0.3">
      <c r="B32" s="31" t="s">
        <v>1223</v>
      </c>
      <c r="C32" s="3" t="s">
        <v>1224</v>
      </c>
      <c r="D32" s="32"/>
      <c r="E32" s="9"/>
    </row>
    <row r="33" spans="2:5" ht="27" customHeight="1" x14ac:dyDescent="0.3">
      <c r="B33" s="31" t="s">
        <v>1225</v>
      </c>
      <c r="C33" s="3" t="s">
        <v>1226</v>
      </c>
      <c r="D33" s="32"/>
      <c r="E33" s="9"/>
    </row>
    <row r="34" spans="2:5" ht="110.25" customHeight="1" x14ac:dyDescent="0.3">
      <c r="B34" s="31" t="s">
        <v>1227</v>
      </c>
      <c r="C34" s="3" t="s">
        <v>1228</v>
      </c>
      <c r="D34" s="32"/>
      <c r="E34" s="9"/>
    </row>
    <row r="35" spans="2:5" x14ac:dyDescent="0.3">
      <c r="B35" s="31" t="s">
        <v>1229</v>
      </c>
      <c r="C35" s="23" t="s">
        <v>1230</v>
      </c>
      <c r="D35" s="32"/>
      <c r="E35" s="9"/>
    </row>
    <row r="36" spans="2:5" x14ac:dyDescent="0.3">
      <c r="B36" s="31" t="s">
        <v>1231</v>
      </c>
      <c r="C36" s="3" t="s">
        <v>1232</v>
      </c>
      <c r="D36" s="32"/>
      <c r="E36" s="9"/>
    </row>
    <row r="37" spans="2:5" ht="54.75" customHeight="1" x14ac:dyDescent="0.3">
      <c r="B37" s="31" t="s">
        <v>1233</v>
      </c>
      <c r="C37" s="3" t="s">
        <v>1234</v>
      </c>
      <c r="D37" s="32"/>
      <c r="E37" s="9"/>
    </row>
    <row r="38" spans="2:5" ht="41.25" customHeight="1" x14ac:dyDescent="0.3">
      <c r="B38" s="31" t="s">
        <v>1235</v>
      </c>
      <c r="C38" s="3" t="s">
        <v>1236</v>
      </c>
      <c r="D38" s="32"/>
      <c r="E38" s="9"/>
    </row>
    <row r="39" spans="2:5" x14ac:dyDescent="0.3">
      <c r="B39" s="31" t="s">
        <v>1237</v>
      </c>
      <c r="C39" s="23" t="s">
        <v>1238</v>
      </c>
      <c r="D39" s="32"/>
      <c r="E39" s="9"/>
    </row>
    <row r="40" spans="2:5" ht="27" customHeight="1" x14ac:dyDescent="0.3">
      <c r="B40" s="31" t="s">
        <v>1239</v>
      </c>
      <c r="C40" s="3" t="s">
        <v>1240</v>
      </c>
      <c r="D40" s="32"/>
      <c r="E40" s="9"/>
    </row>
    <row r="41" spans="2:5" x14ac:dyDescent="0.3">
      <c r="B41" s="31" t="s">
        <v>1241</v>
      </c>
      <c r="C41" s="23" t="s">
        <v>1242</v>
      </c>
      <c r="D41" s="32"/>
      <c r="E41" s="9"/>
    </row>
    <row r="42" spans="2:5" ht="96" customHeight="1" x14ac:dyDescent="0.3">
      <c r="B42" s="31" t="s">
        <v>1243</v>
      </c>
      <c r="C42" s="3" t="s">
        <v>1244</v>
      </c>
    </row>
    <row r="43" spans="2:5" ht="41.25" customHeight="1" x14ac:dyDescent="0.3">
      <c r="B43" s="31" t="s">
        <v>1245</v>
      </c>
      <c r="C43" s="3" t="s">
        <v>1246</v>
      </c>
    </row>
    <row r="44" spans="2:5" ht="27" customHeight="1" x14ac:dyDescent="0.3">
      <c r="B44" s="31" t="s">
        <v>1247</v>
      </c>
      <c r="C44" s="3" t="s">
        <v>1248</v>
      </c>
    </row>
    <row r="45" spans="2:5" x14ac:dyDescent="0.3">
      <c r="B45" s="31" t="s">
        <v>231</v>
      </c>
      <c r="C45" s="3" t="s">
        <v>1249</v>
      </c>
    </row>
    <row r="46" spans="2:5" ht="27" customHeight="1" x14ac:dyDescent="0.3">
      <c r="B46" s="31" t="s">
        <v>173</v>
      </c>
      <c r="C46" s="3" t="s">
        <v>1250</v>
      </c>
    </row>
    <row r="47" spans="2:5" ht="27" customHeight="1" x14ac:dyDescent="0.3">
      <c r="B47" s="31" t="s">
        <v>175</v>
      </c>
      <c r="C47" s="3" t="s">
        <v>1251</v>
      </c>
    </row>
    <row r="48" spans="2:5" ht="41.25" customHeight="1" x14ac:dyDescent="0.3">
      <c r="B48" s="31" t="s">
        <v>177</v>
      </c>
      <c r="C48" s="3" t="s">
        <v>1252</v>
      </c>
    </row>
    <row r="49" spans="2:12" ht="41.25" customHeight="1" x14ac:dyDescent="0.3">
      <c r="B49" s="31" t="s">
        <v>1253</v>
      </c>
      <c r="C49" s="3" t="s">
        <v>1254</v>
      </c>
    </row>
    <row r="50" spans="2:12" ht="41.25" customHeight="1" x14ac:dyDescent="0.3">
      <c r="B50" s="31" t="s">
        <v>181</v>
      </c>
      <c r="C50" s="3" t="s">
        <v>1255</v>
      </c>
    </row>
    <row r="51" spans="2:12" ht="27" customHeight="1" x14ac:dyDescent="0.3">
      <c r="B51" s="31" t="s">
        <v>183</v>
      </c>
      <c r="C51" s="3" t="s">
        <v>1256</v>
      </c>
    </row>
    <row r="53" spans="2:12" ht="15" customHeight="1" x14ac:dyDescent="0.3">
      <c r="B53" s="17" t="s">
        <v>185</v>
      </c>
      <c r="C53" s="34"/>
      <c r="D53" s="34"/>
      <c r="E53" s="34"/>
    </row>
    <row r="54" spans="2:12" ht="14.25" customHeight="1" x14ac:dyDescent="0.3">
      <c r="B54" s="62" t="s">
        <v>186</v>
      </c>
      <c r="C54" s="62"/>
      <c r="D54" s="62"/>
      <c r="E54" s="62"/>
    </row>
    <row r="55" spans="2:12" ht="53.7" customHeight="1" x14ac:dyDescent="0.3">
      <c r="B55" s="31" t="s">
        <v>187</v>
      </c>
      <c r="C55" s="63" t="s">
        <v>1257</v>
      </c>
      <c r="D55" s="63"/>
      <c r="E55" s="63"/>
    </row>
    <row r="56" spans="2:12" ht="85.05" customHeight="1" x14ac:dyDescent="0.3">
      <c r="B56" s="31" t="s">
        <v>1258</v>
      </c>
      <c r="C56" s="63" t="s">
        <v>1259</v>
      </c>
      <c r="D56" s="63"/>
      <c r="E56" s="63"/>
    </row>
    <row r="57" spans="2:12" ht="27" customHeight="1" x14ac:dyDescent="0.3">
      <c r="B57" s="31" t="s">
        <v>1260</v>
      </c>
      <c r="C57" s="64" t="s">
        <v>1261</v>
      </c>
      <c r="D57" s="64"/>
      <c r="E57" s="64"/>
    </row>
    <row r="58" spans="2:12" ht="82.05" customHeight="1" x14ac:dyDescent="0.3">
      <c r="B58" s="31" t="s">
        <v>1262</v>
      </c>
      <c r="C58" s="68" t="s">
        <v>1263</v>
      </c>
      <c r="D58" s="68"/>
      <c r="E58" s="68"/>
    </row>
    <row r="59" spans="2:12" ht="55.2" customHeight="1" x14ac:dyDescent="0.3">
      <c r="B59" s="31" t="s">
        <v>1264</v>
      </c>
      <c r="C59" s="68" t="s">
        <v>1265</v>
      </c>
      <c r="D59" s="68"/>
      <c r="E59" s="68"/>
    </row>
    <row r="60" spans="2:12" ht="82.05" customHeight="1" x14ac:dyDescent="0.3">
      <c r="B60" s="31" t="s">
        <v>1266</v>
      </c>
      <c r="C60" s="68" t="s">
        <v>1267</v>
      </c>
      <c r="D60" s="68"/>
      <c r="E60" s="68"/>
    </row>
    <row r="61" spans="2:12" ht="68.7" customHeight="1" x14ac:dyDescent="0.3">
      <c r="B61" s="31" t="s">
        <v>390</v>
      </c>
      <c r="C61" s="68" t="s">
        <v>1268</v>
      </c>
      <c r="D61" s="68"/>
      <c r="E61" s="68"/>
    </row>
    <row r="63" spans="2:12" ht="30.75" customHeight="1" x14ac:dyDescent="0.3">
      <c r="B63" s="17" t="s">
        <v>195</v>
      </c>
      <c r="C63" s="34"/>
      <c r="D63" s="34"/>
      <c r="E63" s="34"/>
      <c r="F63" s="34"/>
      <c r="G63" s="34"/>
      <c r="H63" s="34"/>
      <c r="I63" s="34"/>
      <c r="J63" s="34"/>
    </row>
    <row r="64" spans="2:12" ht="27" customHeight="1" x14ac:dyDescent="0.3">
      <c r="B64" s="26" t="s">
        <v>196</v>
      </c>
      <c r="C64" s="26" t="s">
        <v>197</v>
      </c>
      <c r="D64" s="26">
        <v>2</v>
      </c>
      <c r="E64" s="26">
        <v>3</v>
      </c>
      <c r="F64" s="26">
        <v>4</v>
      </c>
      <c r="G64" s="26">
        <v>5</v>
      </c>
      <c r="H64" s="26">
        <v>6</v>
      </c>
      <c r="I64" s="26">
        <v>7</v>
      </c>
      <c r="J64" s="26">
        <v>8</v>
      </c>
      <c r="K64" s="26">
        <v>9</v>
      </c>
      <c r="L64" s="26">
        <v>10</v>
      </c>
    </row>
    <row r="65" spans="2:12" ht="96" customHeight="1" x14ac:dyDescent="0.3">
      <c r="B65" s="27" t="s">
        <v>130</v>
      </c>
      <c r="C65" s="27" t="s">
        <v>1269</v>
      </c>
      <c r="D65" s="27" t="s">
        <v>1270</v>
      </c>
      <c r="E65" s="27" t="s">
        <v>1271</v>
      </c>
      <c r="F65" s="27" t="s">
        <v>1272</v>
      </c>
      <c r="G65" s="27" t="s">
        <v>1273</v>
      </c>
      <c r="H65" s="27" t="s">
        <v>1274</v>
      </c>
      <c r="I65" s="27" t="s">
        <v>1275</v>
      </c>
      <c r="J65" s="27" t="s">
        <v>1276</v>
      </c>
      <c r="K65" s="27" t="s">
        <v>1277</v>
      </c>
      <c r="L65" s="27" t="s">
        <v>1278</v>
      </c>
    </row>
    <row r="66" spans="2:12" ht="192.75" customHeight="1" x14ac:dyDescent="0.3">
      <c r="B66" s="16" t="s">
        <v>208</v>
      </c>
      <c r="C66" s="3" t="s">
        <v>1279</v>
      </c>
      <c r="D66" s="3" t="s">
        <v>1280</v>
      </c>
      <c r="E66" s="3" t="s">
        <v>1281</v>
      </c>
      <c r="F66" s="3" t="s">
        <v>1282</v>
      </c>
      <c r="G66" s="3" t="s">
        <v>1283</v>
      </c>
      <c r="H66" s="3" t="s">
        <v>1284</v>
      </c>
      <c r="I66" s="3" t="s">
        <v>1285</v>
      </c>
      <c r="J66" s="3" t="s">
        <v>1286</v>
      </c>
      <c r="K66" s="3" t="s">
        <v>1287</v>
      </c>
      <c r="L66" s="3" t="s">
        <v>1288</v>
      </c>
    </row>
    <row r="67" spans="2:12" ht="41.25" customHeight="1" x14ac:dyDescent="0.3">
      <c r="B67" s="16" t="s">
        <v>167</v>
      </c>
      <c r="C67" s="3" t="s">
        <v>1289</v>
      </c>
      <c r="D67" s="23" t="s">
        <v>219</v>
      </c>
      <c r="E67" s="3" t="s">
        <v>1290</v>
      </c>
      <c r="F67" s="3" t="s">
        <v>1291</v>
      </c>
      <c r="G67" s="23" t="s">
        <v>224</v>
      </c>
      <c r="H67" s="3" t="s">
        <v>1292</v>
      </c>
      <c r="I67" s="3" t="s">
        <v>1293</v>
      </c>
      <c r="J67" s="3" t="s">
        <v>1294</v>
      </c>
      <c r="K67" s="3" t="s">
        <v>1295</v>
      </c>
      <c r="L67" s="23" t="s">
        <v>221</v>
      </c>
    </row>
    <row r="68" spans="2:12" ht="41.25" customHeight="1" x14ac:dyDescent="0.3">
      <c r="B68" s="16" t="s">
        <v>169</v>
      </c>
      <c r="C68" s="3" t="s">
        <v>1296</v>
      </c>
      <c r="D68" s="3" t="s">
        <v>1297</v>
      </c>
      <c r="E68" s="3" t="s">
        <v>1298</v>
      </c>
      <c r="F68" s="23" t="s">
        <v>1299</v>
      </c>
      <c r="G68" s="23" t="s">
        <v>229</v>
      </c>
      <c r="H68" s="23" t="s">
        <v>221</v>
      </c>
      <c r="I68" s="3" t="s">
        <v>1300</v>
      </c>
      <c r="J68" s="3" t="s">
        <v>1301</v>
      </c>
      <c r="K68" s="23" t="s">
        <v>229</v>
      </c>
      <c r="L68" s="23" t="s">
        <v>221</v>
      </c>
    </row>
    <row r="69" spans="2:12" x14ac:dyDescent="0.3">
      <c r="B69" s="16" t="s">
        <v>231</v>
      </c>
      <c r="C69" s="23" t="s">
        <v>219</v>
      </c>
      <c r="D69" s="23" t="s">
        <v>219</v>
      </c>
      <c r="E69" s="23" t="s">
        <v>219</v>
      </c>
      <c r="F69" s="23" t="s">
        <v>219</v>
      </c>
      <c r="G69" s="23" t="s">
        <v>219</v>
      </c>
      <c r="H69" s="23" t="s">
        <v>232</v>
      </c>
      <c r="I69" s="23" t="s">
        <v>232</v>
      </c>
      <c r="J69" s="23" t="s">
        <v>219</v>
      </c>
      <c r="K69" s="23" t="s">
        <v>232</v>
      </c>
      <c r="L69" s="23" t="s">
        <v>232</v>
      </c>
    </row>
    <row r="70" spans="2:12" ht="41.25" customHeight="1" x14ac:dyDescent="0.3">
      <c r="B70" s="16" t="s">
        <v>177</v>
      </c>
      <c r="C70" s="3" t="s">
        <v>1302</v>
      </c>
      <c r="D70" s="3" t="s">
        <v>1303</v>
      </c>
      <c r="E70" s="23" t="s">
        <v>1304</v>
      </c>
      <c r="F70" s="23" t="s">
        <v>418</v>
      </c>
      <c r="G70" s="23" t="s">
        <v>1305</v>
      </c>
      <c r="H70" s="23" t="s">
        <v>817</v>
      </c>
      <c r="I70" s="23" t="s">
        <v>1305</v>
      </c>
      <c r="J70" s="23" t="s">
        <v>1306</v>
      </c>
      <c r="K70" s="23" t="s">
        <v>1305</v>
      </c>
      <c r="L70" s="23" t="s">
        <v>1305</v>
      </c>
    </row>
    <row r="71" spans="2:12" ht="41.25" customHeight="1" x14ac:dyDescent="0.3">
      <c r="B71" s="16" t="s">
        <v>179</v>
      </c>
      <c r="C71" s="23" t="s">
        <v>1307</v>
      </c>
      <c r="D71" s="3" t="s">
        <v>1308</v>
      </c>
      <c r="E71" s="23" t="s">
        <v>228</v>
      </c>
      <c r="F71" s="23" t="s">
        <v>965</v>
      </c>
      <c r="G71" s="23" t="s">
        <v>465</v>
      </c>
      <c r="H71" s="23" t="s">
        <v>223</v>
      </c>
      <c r="I71" s="23" t="s">
        <v>223</v>
      </c>
      <c r="J71" s="23" t="s">
        <v>223</v>
      </c>
      <c r="K71" s="23" t="s">
        <v>223</v>
      </c>
      <c r="L71" s="23" t="s">
        <v>223</v>
      </c>
    </row>
    <row r="72" spans="2:12" ht="41.25" customHeight="1" x14ac:dyDescent="0.3">
      <c r="B72" s="16" t="s">
        <v>238</v>
      </c>
      <c r="C72" s="23" t="s">
        <v>240</v>
      </c>
      <c r="D72" s="23" t="s">
        <v>1309</v>
      </c>
      <c r="E72" s="23" t="s">
        <v>1310</v>
      </c>
      <c r="F72" s="23" t="s">
        <v>221</v>
      </c>
      <c r="G72" s="23" t="s">
        <v>465</v>
      </c>
      <c r="H72" s="3" t="s">
        <v>1311</v>
      </c>
      <c r="I72" s="23" t="s">
        <v>239</v>
      </c>
      <c r="J72" s="23" t="s">
        <v>239</v>
      </c>
      <c r="K72" s="23" t="s">
        <v>239</v>
      </c>
      <c r="L72" s="23" t="s">
        <v>239</v>
      </c>
    </row>
    <row r="73" spans="2:12" x14ac:dyDescent="0.3">
      <c r="B73" s="16" t="s">
        <v>181</v>
      </c>
      <c r="C73" s="23" t="s">
        <v>228</v>
      </c>
      <c r="D73" s="23" t="s">
        <v>228</v>
      </c>
      <c r="E73" s="23" t="s">
        <v>232</v>
      </c>
      <c r="F73" s="23" t="s">
        <v>232</v>
      </c>
      <c r="G73" s="23" t="s">
        <v>232</v>
      </c>
      <c r="H73" s="23" t="s">
        <v>232</v>
      </c>
      <c r="I73" s="23" t="s">
        <v>232</v>
      </c>
      <c r="J73" s="23" t="s">
        <v>232</v>
      </c>
      <c r="K73" s="23" t="s">
        <v>232</v>
      </c>
      <c r="L73" s="23" t="s">
        <v>232</v>
      </c>
    </row>
    <row r="74" spans="2:12" ht="41.25" customHeight="1" x14ac:dyDescent="0.3">
      <c r="B74" s="16" t="s">
        <v>183</v>
      </c>
      <c r="C74" s="23" t="s">
        <v>228</v>
      </c>
      <c r="D74" s="23" t="s">
        <v>228</v>
      </c>
      <c r="E74" s="23" t="s">
        <v>228</v>
      </c>
      <c r="F74" s="23" t="s">
        <v>228</v>
      </c>
      <c r="G74" s="23" t="s">
        <v>228</v>
      </c>
      <c r="H74" s="23" t="s">
        <v>228</v>
      </c>
      <c r="I74" s="23" t="s">
        <v>232</v>
      </c>
      <c r="J74" s="3" t="s">
        <v>1312</v>
      </c>
      <c r="K74" s="3" t="s">
        <v>1313</v>
      </c>
      <c r="L74" s="23" t="s">
        <v>228</v>
      </c>
    </row>
    <row r="75" spans="2:12" ht="234" customHeight="1" x14ac:dyDescent="0.3">
      <c r="B75" s="16" t="s">
        <v>243</v>
      </c>
      <c r="C75" s="3" t="s">
        <v>1314</v>
      </c>
      <c r="D75" s="3" t="s">
        <v>1315</v>
      </c>
      <c r="E75" s="3" t="s">
        <v>1316</v>
      </c>
      <c r="F75" s="3" t="s">
        <v>1317</v>
      </c>
      <c r="G75" s="3" t="s">
        <v>1318</v>
      </c>
      <c r="H75" s="3" t="s">
        <v>1319</v>
      </c>
      <c r="I75" s="3" t="s">
        <v>1320</v>
      </c>
      <c r="J75" s="3" t="s">
        <v>1321</v>
      </c>
      <c r="K75" s="3" t="s">
        <v>1322</v>
      </c>
      <c r="L75" s="3" t="s">
        <v>1323</v>
      </c>
    </row>
    <row r="76" spans="2:12" x14ac:dyDescent="0.3">
      <c r="B76" s="18"/>
      <c r="C76" s="9"/>
      <c r="D76" s="9"/>
      <c r="E76" s="9"/>
      <c r="F76" s="9"/>
      <c r="G76" s="9"/>
      <c r="H76" s="9"/>
      <c r="I76" s="9"/>
      <c r="J76" s="9"/>
      <c r="K76" s="9"/>
      <c r="L76" s="9"/>
    </row>
    <row r="77" spans="2:12" ht="14.25" customHeight="1" x14ac:dyDescent="0.3">
      <c r="B77" s="60" t="s">
        <v>254</v>
      </c>
      <c r="C77" s="60"/>
      <c r="D77" s="60"/>
      <c r="E77" s="60"/>
      <c r="F77" s="60"/>
      <c r="G77" s="60"/>
      <c r="H77" s="60"/>
      <c r="I77" s="60"/>
      <c r="J77" s="60"/>
    </row>
    <row r="78" spans="2:12" ht="41.25" customHeight="1" x14ac:dyDescent="0.3">
      <c r="B78" s="22" t="s">
        <v>255</v>
      </c>
      <c r="C78" s="22" t="s">
        <v>167</v>
      </c>
      <c r="D78" s="22" t="s">
        <v>169</v>
      </c>
      <c r="E78" s="22" t="s">
        <v>171</v>
      </c>
      <c r="F78" s="22" t="s">
        <v>177</v>
      </c>
      <c r="G78" s="22" t="s">
        <v>179</v>
      </c>
      <c r="H78" s="22" t="s">
        <v>175</v>
      </c>
      <c r="I78" s="22" t="s">
        <v>181</v>
      </c>
      <c r="J78" s="22" t="s">
        <v>183</v>
      </c>
    </row>
    <row r="79" spans="2:12" ht="27" customHeight="1" x14ac:dyDescent="0.3">
      <c r="B79" s="31">
        <v>1</v>
      </c>
      <c r="C79" s="3" t="s">
        <v>1324</v>
      </c>
      <c r="D79" s="3" t="s">
        <v>1325</v>
      </c>
      <c r="E79" s="23" t="s">
        <v>219</v>
      </c>
      <c r="F79" s="23" t="s">
        <v>1326</v>
      </c>
      <c r="G79" s="23" t="s">
        <v>1307</v>
      </c>
      <c r="H79" s="23" t="s">
        <v>240</v>
      </c>
      <c r="I79" s="23" t="s">
        <v>228</v>
      </c>
      <c r="J79" s="44" t="s">
        <v>228</v>
      </c>
    </row>
    <row r="80" spans="2:12" ht="27" customHeight="1" x14ac:dyDescent="0.3">
      <c r="B80" s="31">
        <v>2</v>
      </c>
      <c r="C80" s="23" t="s">
        <v>219</v>
      </c>
      <c r="D80" s="3" t="s">
        <v>1327</v>
      </c>
      <c r="E80" s="23" t="s">
        <v>219</v>
      </c>
      <c r="F80" s="23" t="s">
        <v>1328</v>
      </c>
      <c r="G80" s="23" t="s">
        <v>1329</v>
      </c>
      <c r="H80" s="23" t="s">
        <v>1330</v>
      </c>
      <c r="I80" s="23" t="s">
        <v>228</v>
      </c>
      <c r="J80" s="44" t="s">
        <v>228</v>
      </c>
    </row>
    <row r="81" spans="2:10" ht="41.25" customHeight="1" x14ac:dyDescent="0.3">
      <c r="B81" s="31">
        <v>3</v>
      </c>
      <c r="C81" s="23" t="s">
        <v>219</v>
      </c>
      <c r="D81" s="23" t="s">
        <v>1299</v>
      </c>
      <c r="E81" s="23" t="s">
        <v>219</v>
      </c>
      <c r="F81" s="23" t="s">
        <v>1304</v>
      </c>
      <c r="G81" s="23" t="s">
        <v>228</v>
      </c>
      <c r="H81" s="23" t="s">
        <v>1310</v>
      </c>
      <c r="I81" s="23" t="s">
        <v>232</v>
      </c>
      <c r="J81" s="44" t="s">
        <v>228</v>
      </c>
    </row>
    <row r="82" spans="2:10" ht="27" customHeight="1" x14ac:dyDescent="0.3">
      <c r="B82" s="31">
        <v>4</v>
      </c>
      <c r="C82" s="23" t="s">
        <v>223</v>
      </c>
      <c r="D82" s="23" t="s">
        <v>229</v>
      </c>
      <c r="E82" s="23" t="s">
        <v>219</v>
      </c>
      <c r="F82" s="23" t="s">
        <v>418</v>
      </c>
      <c r="G82" s="23" t="s">
        <v>965</v>
      </c>
      <c r="H82" s="23" t="s">
        <v>221</v>
      </c>
      <c r="I82" s="23" t="s">
        <v>232</v>
      </c>
      <c r="J82" s="44" t="s">
        <v>228</v>
      </c>
    </row>
    <row r="83" spans="2:10" ht="41.25" customHeight="1" x14ac:dyDescent="0.3">
      <c r="B83" s="31">
        <v>5</v>
      </c>
      <c r="C83" s="23" t="s">
        <v>224</v>
      </c>
      <c r="D83" s="23" t="s">
        <v>229</v>
      </c>
      <c r="E83" s="23" t="s">
        <v>219</v>
      </c>
      <c r="F83" s="23" t="s">
        <v>1305</v>
      </c>
      <c r="G83" s="23" t="s">
        <v>465</v>
      </c>
      <c r="H83" s="23" t="s">
        <v>465</v>
      </c>
      <c r="I83" s="23" t="s">
        <v>232</v>
      </c>
      <c r="J83" s="44" t="s">
        <v>228</v>
      </c>
    </row>
    <row r="84" spans="2:10" ht="27" customHeight="1" x14ac:dyDescent="0.3">
      <c r="B84" s="31">
        <v>6</v>
      </c>
      <c r="C84" s="23" t="s">
        <v>219</v>
      </c>
      <c r="D84" s="23" t="s">
        <v>221</v>
      </c>
      <c r="E84" s="23" t="s">
        <v>232</v>
      </c>
      <c r="F84" s="23" t="s">
        <v>817</v>
      </c>
      <c r="G84" s="23" t="s">
        <v>223</v>
      </c>
      <c r="H84" s="23" t="s">
        <v>1331</v>
      </c>
      <c r="I84" s="23" t="s">
        <v>232</v>
      </c>
      <c r="J84" s="44" t="s">
        <v>228</v>
      </c>
    </row>
    <row r="85" spans="2:10" ht="41.25" customHeight="1" x14ac:dyDescent="0.3">
      <c r="B85" s="31">
        <v>7</v>
      </c>
      <c r="C85" s="23" t="s">
        <v>219</v>
      </c>
      <c r="D85" s="23" t="s">
        <v>229</v>
      </c>
      <c r="E85" s="23" t="s">
        <v>232</v>
      </c>
      <c r="F85" s="23" t="s">
        <v>1305</v>
      </c>
      <c r="G85" s="23" t="s">
        <v>223</v>
      </c>
      <c r="H85" s="23" t="s">
        <v>239</v>
      </c>
      <c r="I85" s="23" t="s">
        <v>232</v>
      </c>
      <c r="J85" s="44" t="s">
        <v>232</v>
      </c>
    </row>
    <row r="86" spans="2:10" ht="41.25" customHeight="1" x14ac:dyDescent="0.3">
      <c r="B86" s="31">
        <v>8</v>
      </c>
      <c r="C86" s="23" t="s">
        <v>221</v>
      </c>
      <c r="D86" s="23" t="s">
        <v>229</v>
      </c>
      <c r="E86" s="23" t="s">
        <v>219</v>
      </c>
      <c r="F86" s="23" t="s">
        <v>1332</v>
      </c>
      <c r="G86" s="23" t="s">
        <v>223</v>
      </c>
      <c r="H86" s="23" t="s">
        <v>239</v>
      </c>
      <c r="I86" s="23" t="s">
        <v>232</v>
      </c>
      <c r="J86" s="44" t="s">
        <v>219</v>
      </c>
    </row>
    <row r="87" spans="2:10" ht="41.25" customHeight="1" x14ac:dyDescent="0.3">
      <c r="B87" s="31">
        <v>9</v>
      </c>
      <c r="C87" s="23" t="s">
        <v>221</v>
      </c>
      <c r="D87" s="23" t="s">
        <v>229</v>
      </c>
      <c r="E87" s="23" t="s">
        <v>232</v>
      </c>
      <c r="F87" s="23" t="s">
        <v>1305</v>
      </c>
      <c r="G87" s="23" t="s">
        <v>223</v>
      </c>
      <c r="H87" s="23" t="s">
        <v>239</v>
      </c>
      <c r="I87" s="23" t="s">
        <v>232</v>
      </c>
      <c r="J87" s="44" t="s">
        <v>219</v>
      </c>
    </row>
    <row r="88" spans="2:10" ht="41.25" customHeight="1" x14ac:dyDescent="0.3">
      <c r="B88" s="31">
        <v>10</v>
      </c>
      <c r="C88" s="23" t="s">
        <v>221</v>
      </c>
      <c r="D88" s="23" t="s">
        <v>221</v>
      </c>
      <c r="E88" s="23" t="s">
        <v>232</v>
      </c>
      <c r="F88" s="23" t="s">
        <v>1305</v>
      </c>
      <c r="G88" s="23" t="s">
        <v>223</v>
      </c>
      <c r="H88" s="23" t="s">
        <v>239</v>
      </c>
      <c r="I88" s="23" t="s">
        <v>232</v>
      </c>
      <c r="J88" s="44" t="s">
        <v>228</v>
      </c>
    </row>
    <row r="90" spans="2:10" ht="15" customHeight="1" x14ac:dyDescent="0.3">
      <c r="B90" s="17" t="s">
        <v>264</v>
      </c>
      <c r="C90" s="34"/>
      <c r="D90" s="34"/>
      <c r="E90" s="34"/>
      <c r="F90" s="34"/>
      <c r="G90" s="34"/>
      <c r="H90" s="34"/>
      <c r="I90" s="34"/>
    </row>
    <row r="91" spans="2:10" ht="27" customHeight="1" x14ac:dyDescent="0.3">
      <c r="B91" s="26" t="s">
        <v>196</v>
      </c>
      <c r="C91" s="26" t="s">
        <v>689</v>
      </c>
      <c r="D91" s="26">
        <v>12</v>
      </c>
      <c r="E91" s="26">
        <v>13</v>
      </c>
      <c r="F91" s="26">
        <v>14</v>
      </c>
      <c r="G91" s="26">
        <v>15</v>
      </c>
      <c r="H91" s="26">
        <v>16</v>
      </c>
      <c r="I91" s="26">
        <v>17</v>
      </c>
    </row>
    <row r="92" spans="2:10" ht="110.25" customHeight="1" x14ac:dyDescent="0.3">
      <c r="B92" s="27" t="s">
        <v>130</v>
      </c>
      <c r="C92" s="27" t="s">
        <v>1333</v>
      </c>
      <c r="D92" s="27" t="s">
        <v>1334</v>
      </c>
      <c r="E92" s="27" t="s">
        <v>1335</v>
      </c>
      <c r="F92" s="27" t="s">
        <v>1336</v>
      </c>
      <c r="G92" s="27" t="s">
        <v>1337</v>
      </c>
      <c r="H92" s="27" t="s">
        <v>1338</v>
      </c>
      <c r="I92" s="27" t="s">
        <v>1339</v>
      </c>
    </row>
    <row r="93" spans="2:10" ht="273" customHeight="1" x14ac:dyDescent="0.3">
      <c r="B93" s="16" t="s">
        <v>208</v>
      </c>
      <c r="C93" s="35" t="s">
        <v>1340</v>
      </c>
      <c r="D93" s="35" t="s">
        <v>1341</v>
      </c>
      <c r="E93" s="35" t="s">
        <v>1342</v>
      </c>
      <c r="F93" s="35" t="s">
        <v>1343</v>
      </c>
      <c r="G93" s="35" t="s">
        <v>1344</v>
      </c>
      <c r="H93" s="35" t="s">
        <v>1345</v>
      </c>
      <c r="I93" s="35" t="s">
        <v>1346</v>
      </c>
    </row>
    <row r="94" spans="2:10" x14ac:dyDescent="0.3">
      <c r="B94" s="16" t="s">
        <v>167</v>
      </c>
      <c r="C94" s="35" t="s">
        <v>221</v>
      </c>
      <c r="D94" s="25" t="s">
        <v>221</v>
      </c>
      <c r="E94" s="35" t="s">
        <v>219</v>
      </c>
      <c r="F94" s="35" t="s">
        <v>221</v>
      </c>
      <c r="G94" s="35" t="s">
        <v>223</v>
      </c>
      <c r="H94" s="35" t="s">
        <v>219</v>
      </c>
      <c r="I94" s="25" t="s">
        <v>223</v>
      </c>
    </row>
    <row r="95" spans="2:10" x14ac:dyDescent="0.3">
      <c r="B95" s="16" t="s">
        <v>169</v>
      </c>
      <c r="C95" s="35" t="s">
        <v>221</v>
      </c>
      <c r="D95" s="36" t="s">
        <v>221</v>
      </c>
      <c r="E95" s="35" t="s">
        <v>278</v>
      </c>
      <c r="F95" s="35" t="s">
        <v>221</v>
      </c>
      <c r="G95" s="25" t="s">
        <v>229</v>
      </c>
      <c r="H95" s="35" t="s">
        <v>221</v>
      </c>
      <c r="I95" s="35" t="s">
        <v>229</v>
      </c>
    </row>
    <row r="96" spans="2:10" x14ac:dyDescent="0.3">
      <c r="B96" s="16" t="s">
        <v>231</v>
      </c>
      <c r="C96" s="25" t="s">
        <v>232</v>
      </c>
      <c r="D96" s="35" t="s">
        <v>232</v>
      </c>
      <c r="E96" s="35" t="s">
        <v>232</v>
      </c>
      <c r="F96" s="35" t="s">
        <v>232</v>
      </c>
      <c r="G96" s="35" t="s">
        <v>232</v>
      </c>
      <c r="H96" s="35" t="s">
        <v>232</v>
      </c>
      <c r="I96" s="35" t="s">
        <v>232</v>
      </c>
    </row>
    <row r="97" spans="2:10" ht="42.75" customHeight="1" x14ac:dyDescent="0.3">
      <c r="B97" s="16" t="s">
        <v>177</v>
      </c>
      <c r="C97" s="25" t="s">
        <v>279</v>
      </c>
      <c r="D97" s="35" t="s">
        <v>279</v>
      </c>
      <c r="E97" s="35" t="s">
        <v>279</v>
      </c>
      <c r="F97" s="35" t="s">
        <v>279</v>
      </c>
      <c r="G97" s="35" t="s">
        <v>233</v>
      </c>
      <c r="H97" s="25" t="s">
        <v>233</v>
      </c>
      <c r="I97" s="35" t="s">
        <v>279</v>
      </c>
    </row>
    <row r="98" spans="2:10" ht="28.5" customHeight="1" x14ac:dyDescent="0.3">
      <c r="B98" s="16" t="s">
        <v>179</v>
      </c>
      <c r="C98" s="25" t="s">
        <v>449</v>
      </c>
      <c r="D98" s="35" t="s">
        <v>449</v>
      </c>
      <c r="E98" s="35" t="s">
        <v>449</v>
      </c>
      <c r="F98" s="35" t="s">
        <v>449</v>
      </c>
      <c r="G98" s="25" t="s">
        <v>449</v>
      </c>
      <c r="H98" s="35" t="s">
        <v>449</v>
      </c>
      <c r="I98" s="35" t="s">
        <v>449</v>
      </c>
    </row>
    <row r="99" spans="2:10" ht="28.5" customHeight="1" x14ac:dyDescent="0.3">
      <c r="B99" s="16" t="s">
        <v>238</v>
      </c>
      <c r="C99" s="25" t="s">
        <v>239</v>
      </c>
      <c r="D99" s="35" t="s">
        <v>239</v>
      </c>
      <c r="E99" s="35" t="s">
        <v>239</v>
      </c>
      <c r="F99" s="35" t="s">
        <v>239</v>
      </c>
      <c r="G99" s="25" t="s">
        <v>239</v>
      </c>
      <c r="H99" s="25" t="s">
        <v>449</v>
      </c>
      <c r="I99" s="35" t="s">
        <v>239</v>
      </c>
    </row>
    <row r="100" spans="2:10" x14ac:dyDescent="0.3">
      <c r="B100" s="16" t="s">
        <v>181</v>
      </c>
      <c r="C100" s="25" t="s">
        <v>450</v>
      </c>
      <c r="D100" s="35" t="s">
        <v>232</v>
      </c>
      <c r="E100" s="35" t="s">
        <v>232</v>
      </c>
      <c r="F100" s="35" t="s">
        <v>232</v>
      </c>
      <c r="G100" s="35" t="s">
        <v>232</v>
      </c>
      <c r="H100" s="35" t="s">
        <v>450</v>
      </c>
      <c r="I100" s="35" t="s">
        <v>232</v>
      </c>
    </row>
    <row r="101" spans="2:10" x14ac:dyDescent="0.3">
      <c r="B101" s="16" t="s">
        <v>183</v>
      </c>
      <c r="C101" s="25" t="s">
        <v>232</v>
      </c>
      <c r="D101" s="35" t="s">
        <v>232</v>
      </c>
      <c r="E101" s="35" t="s">
        <v>232</v>
      </c>
      <c r="F101" s="35" t="s">
        <v>232</v>
      </c>
      <c r="G101" s="25" t="s">
        <v>232</v>
      </c>
      <c r="H101" s="35" t="s">
        <v>232</v>
      </c>
      <c r="I101" s="25" t="s">
        <v>232</v>
      </c>
    </row>
    <row r="102" spans="2:10" ht="230.25" customHeight="1" x14ac:dyDescent="0.3">
      <c r="B102" s="16" t="s">
        <v>243</v>
      </c>
      <c r="C102" s="35" t="s">
        <v>1347</v>
      </c>
      <c r="D102" s="35" t="s">
        <v>1348</v>
      </c>
      <c r="E102" s="35" t="s">
        <v>1349</v>
      </c>
      <c r="F102" s="35" t="s">
        <v>1350</v>
      </c>
      <c r="G102" s="25" t="s">
        <v>1351</v>
      </c>
      <c r="H102" s="25" t="s">
        <v>1352</v>
      </c>
      <c r="I102" s="35" t="s">
        <v>1353</v>
      </c>
    </row>
    <row r="104" spans="2:10" ht="14.25" customHeight="1" x14ac:dyDescent="0.3">
      <c r="B104" s="60" t="s">
        <v>581</v>
      </c>
      <c r="C104" s="60"/>
      <c r="D104" s="60"/>
      <c r="E104" s="60"/>
      <c r="F104" s="60"/>
      <c r="G104" s="60"/>
      <c r="H104" s="60"/>
      <c r="I104" s="60"/>
      <c r="J104" s="60"/>
    </row>
    <row r="105" spans="2:10" ht="41.25" customHeight="1" x14ac:dyDescent="0.3">
      <c r="B105" s="22" t="s">
        <v>255</v>
      </c>
      <c r="C105" s="22" t="s">
        <v>167</v>
      </c>
      <c r="D105" s="22" t="s">
        <v>169</v>
      </c>
      <c r="E105" s="22" t="s">
        <v>171</v>
      </c>
      <c r="F105" s="22" t="s">
        <v>177</v>
      </c>
      <c r="G105" s="22" t="s">
        <v>179</v>
      </c>
      <c r="H105" s="22" t="s">
        <v>175</v>
      </c>
      <c r="I105" s="22" t="s">
        <v>181</v>
      </c>
      <c r="J105" s="22" t="s">
        <v>183</v>
      </c>
    </row>
    <row r="106" spans="2:10" x14ac:dyDescent="0.3">
      <c r="B106" s="44">
        <v>11</v>
      </c>
      <c r="C106" s="44" t="s">
        <v>221</v>
      </c>
      <c r="D106" s="44" t="s">
        <v>221</v>
      </c>
      <c r="E106" s="44" t="s">
        <v>232</v>
      </c>
      <c r="F106" s="37" t="s">
        <v>583</v>
      </c>
      <c r="G106" s="37" t="s">
        <v>584</v>
      </c>
      <c r="H106" s="37" t="s">
        <v>239</v>
      </c>
      <c r="I106" s="37" t="s">
        <v>450</v>
      </c>
      <c r="J106" s="37" t="s">
        <v>232</v>
      </c>
    </row>
    <row r="107" spans="2:10" x14ac:dyDescent="0.3">
      <c r="B107" s="44">
        <v>12</v>
      </c>
      <c r="C107" s="44" t="s">
        <v>221</v>
      </c>
      <c r="D107" s="44" t="s">
        <v>221</v>
      </c>
      <c r="E107" s="44" t="s">
        <v>232</v>
      </c>
      <c r="F107" s="37" t="s">
        <v>583</v>
      </c>
      <c r="G107" s="37" t="s">
        <v>584</v>
      </c>
      <c r="H107" s="37" t="s">
        <v>239</v>
      </c>
      <c r="I107" s="37" t="s">
        <v>232</v>
      </c>
      <c r="J107" s="37" t="s">
        <v>232</v>
      </c>
    </row>
    <row r="108" spans="2:10" x14ac:dyDescent="0.3">
      <c r="B108" s="44">
        <v>13</v>
      </c>
      <c r="C108" s="44" t="s">
        <v>219</v>
      </c>
      <c r="D108" s="44" t="s">
        <v>278</v>
      </c>
      <c r="E108" s="44" t="s">
        <v>232</v>
      </c>
      <c r="F108" s="37" t="s">
        <v>583</v>
      </c>
      <c r="G108" s="37" t="s">
        <v>584</v>
      </c>
      <c r="H108" s="37" t="s">
        <v>239</v>
      </c>
      <c r="I108" s="37" t="s">
        <v>232</v>
      </c>
      <c r="J108" s="37" t="s">
        <v>232</v>
      </c>
    </row>
    <row r="109" spans="2:10" x14ac:dyDescent="0.3">
      <c r="B109" s="44">
        <v>14</v>
      </c>
      <c r="C109" s="44" t="s">
        <v>221</v>
      </c>
      <c r="D109" s="44" t="s">
        <v>221</v>
      </c>
      <c r="E109" s="44" t="s">
        <v>232</v>
      </c>
      <c r="F109" s="37" t="s">
        <v>583</v>
      </c>
      <c r="G109" s="37" t="s">
        <v>584</v>
      </c>
      <c r="H109" s="37" t="s">
        <v>239</v>
      </c>
      <c r="I109" s="37" t="s">
        <v>232</v>
      </c>
      <c r="J109" s="37" t="s">
        <v>232</v>
      </c>
    </row>
    <row r="110" spans="2:10" x14ac:dyDescent="0.3">
      <c r="B110" s="44">
        <v>15</v>
      </c>
      <c r="C110" s="44" t="s">
        <v>223</v>
      </c>
      <c r="D110" s="44" t="s">
        <v>229</v>
      </c>
      <c r="E110" s="44" t="s">
        <v>232</v>
      </c>
      <c r="F110" s="37" t="s">
        <v>233</v>
      </c>
      <c r="G110" s="37" t="s">
        <v>584</v>
      </c>
      <c r="H110" s="37" t="s">
        <v>239</v>
      </c>
      <c r="I110" s="37" t="s">
        <v>232</v>
      </c>
      <c r="J110" s="37" t="s">
        <v>232</v>
      </c>
    </row>
    <row r="111" spans="2:10" x14ac:dyDescent="0.3">
      <c r="B111" s="44">
        <v>16</v>
      </c>
      <c r="C111" s="44" t="s">
        <v>219</v>
      </c>
      <c r="D111" s="44" t="s">
        <v>221</v>
      </c>
      <c r="E111" s="44" t="s">
        <v>232</v>
      </c>
      <c r="F111" s="37" t="s">
        <v>233</v>
      </c>
      <c r="G111" s="37" t="s">
        <v>584</v>
      </c>
      <c r="H111" s="37" t="s">
        <v>584</v>
      </c>
      <c r="I111" s="37" t="s">
        <v>450</v>
      </c>
      <c r="J111" s="37" t="s">
        <v>232</v>
      </c>
    </row>
    <row r="112" spans="2:10" x14ac:dyDescent="0.3">
      <c r="B112" s="44">
        <v>17</v>
      </c>
      <c r="C112" s="44" t="s">
        <v>223</v>
      </c>
      <c r="D112" s="44" t="s">
        <v>229</v>
      </c>
      <c r="E112" s="44" t="s">
        <v>232</v>
      </c>
      <c r="F112" s="37" t="s">
        <v>583</v>
      </c>
      <c r="G112" s="37" t="s">
        <v>584</v>
      </c>
      <c r="H112" s="37" t="s">
        <v>239</v>
      </c>
      <c r="I112" s="37" t="s">
        <v>232</v>
      </c>
      <c r="J112" s="37" t="s">
        <v>232</v>
      </c>
    </row>
    <row r="114" spans="2:11" ht="14.25" customHeight="1" x14ac:dyDescent="0.3">
      <c r="B114" s="60" t="s">
        <v>288</v>
      </c>
      <c r="C114" s="60"/>
      <c r="D114" s="60"/>
      <c r="E114" s="60"/>
      <c r="F114" s="60"/>
      <c r="G114" s="60"/>
      <c r="H114" s="60"/>
      <c r="I114" s="60"/>
      <c r="J114" s="60"/>
    </row>
    <row r="115" spans="2:11" ht="54.75" customHeight="1" x14ac:dyDescent="0.3">
      <c r="B115" s="22" t="s">
        <v>289</v>
      </c>
      <c r="C115" s="45" t="s">
        <v>1354</v>
      </c>
      <c r="D115" s="45" t="s">
        <v>1355</v>
      </c>
      <c r="E115" s="45" t="s">
        <v>1356</v>
      </c>
      <c r="F115" s="45" t="s">
        <v>1357</v>
      </c>
      <c r="G115" s="45" t="s">
        <v>1358</v>
      </c>
      <c r="H115" s="45" t="s">
        <v>1359</v>
      </c>
      <c r="I115" s="45" t="s">
        <v>1360</v>
      </c>
      <c r="J115" s="22" t="s">
        <v>1361</v>
      </c>
    </row>
    <row r="116" spans="2:11" ht="82.5" customHeight="1" x14ac:dyDescent="0.3">
      <c r="B116" s="31">
        <v>1</v>
      </c>
      <c r="C116" s="3" t="s">
        <v>1362</v>
      </c>
      <c r="D116" s="3" t="s">
        <v>1363</v>
      </c>
      <c r="E116" s="23" t="s">
        <v>1364</v>
      </c>
      <c r="F116" s="23" t="s">
        <v>850</v>
      </c>
      <c r="G116" s="3" t="s">
        <v>1365</v>
      </c>
      <c r="H116" s="3" t="s">
        <v>1366</v>
      </c>
      <c r="I116" s="23" t="s">
        <v>223</v>
      </c>
      <c r="J116" s="44" t="s">
        <v>1367</v>
      </c>
    </row>
    <row r="117" spans="2:11" ht="54.75" customHeight="1" x14ac:dyDescent="0.3">
      <c r="B117" s="31">
        <v>2</v>
      </c>
      <c r="C117" s="3" t="s">
        <v>1368</v>
      </c>
      <c r="D117" s="3" t="s">
        <v>1369</v>
      </c>
      <c r="E117" s="23" t="s">
        <v>1370</v>
      </c>
      <c r="F117" s="23" t="s">
        <v>850</v>
      </c>
      <c r="G117" s="3" t="s">
        <v>1371</v>
      </c>
      <c r="H117" s="23" t="s">
        <v>1372</v>
      </c>
      <c r="I117" s="3" t="s">
        <v>1373</v>
      </c>
      <c r="J117" s="44" t="s">
        <v>1374</v>
      </c>
    </row>
    <row r="118" spans="2:11" ht="57" customHeight="1" x14ac:dyDescent="0.3">
      <c r="B118" s="31">
        <v>3</v>
      </c>
      <c r="C118" s="3" t="s">
        <v>1375</v>
      </c>
      <c r="D118" s="3" t="s">
        <v>1376</v>
      </c>
      <c r="E118" s="3" t="s">
        <v>1377</v>
      </c>
      <c r="F118" s="23" t="s">
        <v>1378</v>
      </c>
      <c r="G118" s="3" t="s">
        <v>1379</v>
      </c>
      <c r="H118" s="23" t="s">
        <v>1380</v>
      </c>
      <c r="I118" s="23" t="s">
        <v>240</v>
      </c>
      <c r="J118" s="35" t="s">
        <v>1381</v>
      </c>
    </row>
    <row r="119" spans="2:11" ht="72" customHeight="1" x14ac:dyDescent="0.3">
      <c r="B119" s="31">
        <v>4</v>
      </c>
      <c r="C119" s="3" t="s">
        <v>1382</v>
      </c>
      <c r="D119" s="3" t="s">
        <v>1383</v>
      </c>
      <c r="E119" s="3" t="s">
        <v>1384</v>
      </c>
      <c r="F119" s="23" t="s">
        <v>1385</v>
      </c>
      <c r="G119" s="3" t="s">
        <v>1386</v>
      </c>
      <c r="H119" s="3" t="s">
        <v>1387</v>
      </c>
      <c r="I119" s="3" t="s">
        <v>1388</v>
      </c>
      <c r="J119" s="35" t="s">
        <v>1389</v>
      </c>
    </row>
    <row r="120" spans="2:11" x14ac:dyDescent="0.3">
      <c r="B120" s="34"/>
      <c r="C120" s="34"/>
      <c r="D120" s="34"/>
      <c r="E120" s="34"/>
      <c r="F120" s="34"/>
      <c r="G120" s="34"/>
      <c r="H120" s="34"/>
      <c r="I120" s="34"/>
      <c r="J120" s="34"/>
    </row>
    <row r="121" spans="2:11" ht="14.25" customHeight="1" x14ac:dyDescent="0.3">
      <c r="B121" s="61" t="s">
        <v>306</v>
      </c>
      <c r="C121" s="61"/>
      <c r="D121" s="61"/>
      <c r="E121" s="61"/>
      <c r="F121" s="61"/>
      <c r="G121" s="61"/>
      <c r="H121" s="61"/>
      <c r="I121" s="34"/>
      <c r="J121" s="34"/>
    </row>
    <row r="122" spans="2:11" ht="41.25" customHeight="1" x14ac:dyDescent="0.3">
      <c r="B122" s="27" t="s">
        <v>255</v>
      </c>
      <c r="C122" s="27" t="s">
        <v>167</v>
      </c>
      <c r="D122" s="27" t="s">
        <v>307</v>
      </c>
      <c r="E122" s="27" t="s">
        <v>308</v>
      </c>
      <c r="F122" s="27" t="s">
        <v>309</v>
      </c>
      <c r="G122" s="27" t="s">
        <v>181</v>
      </c>
      <c r="H122" s="27" t="s">
        <v>310</v>
      </c>
      <c r="I122" s="34"/>
      <c r="J122" s="46"/>
      <c r="K122" s="46"/>
    </row>
    <row r="123" spans="2:11" ht="27" customHeight="1" x14ac:dyDescent="0.3">
      <c r="B123" s="22" t="s">
        <v>255</v>
      </c>
      <c r="C123" s="22" t="s">
        <v>167</v>
      </c>
      <c r="D123" s="22" t="s">
        <v>311</v>
      </c>
      <c r="E123" s="22" t="s">
        <v>308</v>
      </c>
      <c r="F123" s="22" t="s">
        <v>312</v>
      </c>
      <c r="G123" s="22" t="s">
        <v>181</v>
      </c>
      <c r="H123" s="22" t="s">
        <v>313</v>
      </c>
      <c r="I123" s="34"/>
      <c r="J123" s="46"/>
      <c r="K123" s="46"/>
    </row>
    <row r="124" spans="2:11" x14ac:dyDescent="0.3">
      <c r="B124" s="31">
        <v>1</v>
      </c>
      <c r="C124" s="23">
        <v>4</v>
      </c>
      <c r="D124" s="23">
        <v>5</v>
      </c>
      <c r="E124" s="23">
        <v>5</v>
      </c>
      <c r="F124" s="23">
        <v>3</v>
      </c>
      <c r="G124" s="23">
        <v>4</v>
      </c>
      <c r="H124" s="39">
        <f t="shared" ref="H124:H133" si="0">AVERAGE(C124:G124)</f>
        <v>4.2</v>
      </c>
      <c r="I124" s="34"/>
      <c r="J124" s="46"/>
      <c r="K124" s="46"/>
    </row>
    <row r="125" spans="2:11" x14ac:dyDescent="0.3">
      <c r="B125" s="31">
        <v>2</v>
      </c>
      <c r="C125" s="23">
        <v>3</v>
      </c>
      <c r="D125" s="23">
        <v>5</v>
      </c>
      <c r="E125" s="23">
        <v>4</v>
      </c>
      <c r="F125" s="23">
        <v>2</v>
      </c>
      <c r="G125" s="23">
        <v>4</v>
      </c>
      <c r="H125" s="39">
        <f t="shared" si="0"/>
        <v>3.6</v>
      </c>
      <c r="I125" s="34"/>
      <c r="J125" s="46"/>
      <c r="K125" s="46"/>
    </row>
    <row r="126" spans="2:11" x14ac:dyDescent="0.3">
      <c r="B126" s="31">
        <v>3</v>
      </c>
      <c r="C126" s="23">
        <v>3</v>
      </c>
      <c r="D126" s="23">
        <v>5</v>
      </c>
      <c r="E126" s="23">
        <v>4</v>
      </c>
      <c r="F126" s="23">
        <v>3</v>
      </c>
      <c r="G126" s="23">
        <v>4</v>
      </c>
      <c r="H126" s="39">
        <f t="shared" si="0"/>
        <v>3.8</v>
      </c>
      <c r="I126" s="34"/>
      <c r="J126" s="46"/>
      <c r="K126" s="46"/>
    </row>
    <row r="127" spans="2:11" x14ac:dyDescent="0.3">
      <c r="B127" s="31">
        <v>4</v>
      </c>
      <c r="C127" s="23">
        <v>3</v>
      </c>
      <c r="D127" s="23">
        <v>5</v>
      </c>
      <c r="E127" s="23">
        <v>4</v>
      </c>
      <c r="F127" s="23">
        <v>4</v>
      </c>
      <c r="G127" s="23">
        <v>4</v>
      </c>
      <c r="H127" s="39">
        <f t="shared" si="0"/>
        <v>4</v>
      </c>
      <c r="I127" s="34"/>
      <c r="J127" s="34"/>
    </row>
    <row r="128" spans="2:11" x14ac:dyDescent="0.3">
      <c r="B128" s="31">
        <v>5</v>
      </c>
      <c r="C128" s="23">
        <v>2</v>
      </c>
      <c r="D128" s="23">
        <v>4</v>
      </c>
      <c r="E128" s="23">
        <v>3</v>
      </c>
      <c r="F128" s="23">
        <v>3</v>
      </c>
      <c r="G128" s="23">
        <v>3</v>
      </c>
      <c r="H128" s="39">
        <f t="shared" si="0"/>
        <v>3</v>
      </c>
      <c r="I128" s="34"/>
      <c r="J128" s="34"/>
    </row>
    <row r="129" spans="2:10" x14ac:dyDescent="0.3">
      <c r="B129" s="31">
        <v>6</v>
      </c>
      <c r="C129" s="23">
        <v>1</v>
      </c>
      <c r="D129" s="23">
        <v>5</v>
      </c>
      <c r="E129" s="23">
        <v>2</v>
      </c>
      <c r="F129" s="23">
        <v>2</v>
      </c>
      <c r="G129" s="23">
        <v>3</v>
      </c>
      <c r="H129" s="39">
        <f t="shared" si="0"/>
        <v>2.6</v>
      </c>
      <c r="I129" s="34"/>
      <c r="J129" s="34"/>
    </row>
    <row r="130" spans="2:10" x14ac:dyDescent="0.3">
      <c r="B130" s="31">
        <v>7</v>
      </c>
      <c r="C130" s="23">
        <v>5</v>
      </c>
      <c r="D130" s="23">
        <v>4</v>
      </c>
      <c r="E130" s="23">
        <v>5</v>
      </c>
      <c r="F130" s="23">
        <v>3</v>
      </c>
      <c r="G130" s="23">
        <v>3</v>
      </c>
      <c r="H130" s="39">
        <f t="shared" si="0"/>
        <v>4</v>
      </c>
      <c r="I130" s="34"/>
      <c r="J130" s="34"/>
    </row>
    <row r="131" spans="2:10" x14ac:dyDescent="0.3">
      <c r="B131" s="31">
        <v>8</v>
      </c>
      <c r="C131" s="23">
        <v>5</v>
      </c>
      <c r="D131" s="23">
        <v>3</v>
      </c>
      <c r="E131" s="23">
        <v>4</v>
      </c>
      <c r="F131" s="23">
        <v>3</v>
      </c>
      <c r="G131" s="23">
        <v>3</v>
      </c>
      <c r="H131" s="39">
        <f t="shared" si="0"/>
        <v>3.6</v>
      </c>
      <c r="I131" s="34"/>
      <c r="J131" s="34"/>
    </row>
    <row r="132" spans="2:10" x14ac:dyDescent="0.3">
      <c r="B132" s="31">
        <v>9</v>
      </c>
      <c r="C132" s="23">
        <v>4</v>
      </c>
      <c r="D132" s="23">
        <v>1</v>
      </c>
      <c r="E132" s="23">
        <v>1</v>
      </c>
      <c r="F132" s="23">
        <v>5</v>
      </c>
      <c r="G132" s="23">
        <v>1</v>
      </c>
      <c r="H132" s="39">
        <f t="shared" si="0"/>
        <v>2.4</v>
      </c>
      <c r="I132" s="34"/>
      <c r="J132" s="34"/>
    </row>
    <row r="133" spans="2:10" x14ac:dyDescent="0.3">
      <c r="B133" s="31">
        <v>10</v>
      </c>
      <c r="C133" s="23">
        <v>5</v>
      </c>
      <c r="D133" s="23">
        <v>1</v>
      </c>
      <c r="E133" s="23">
        <v>1</v>
      </c>
      <c r="F133" s="23">
        <v>5</v>
      </c>
      <c r="G133" s="23">
        <v>1</v>
      </c>
      <c r="H133" s="39">
        <f t="shared" si="0"/>
        <v>2.6</v>
      </c>
      <c r="I133" s="34"/>
      <c r="J133" s="34"/>
    </row>
  </sheetData>
  <mergeCells count="30">
    <mergeCell ref="B1:E1"/>
    <mergeCell ref="C2:E2"/>
    <mergeCell ref="C3:E3"/>
    <mergeCell ref="C4:E4"/>
    <mergeCell ref="C5:E5"/>
    <mergeCell ref="C6:E6"/>
    <mergeCell ref="C7:E7"/>
    <mergeCell ref="C8:E8"/>
    <mergeCell ref="B10:E10"/>
    <mergeCell ref="C11:E11"/>
    <mergeCell ref="C12:E12"/>
    <mergeCell ref="C13:E13"/>
    <mergeCell ref="C14:E14"/>
    <mergeCell ref="C15:E15"/>
    <mergeCell ref="C16:E16"/>
    <mergeCell ref="C17:E17"/>
    <mergeCell ref="B19:D19"/>
    <mergeCell ref="B30:C30"/>
    <mergeCell ref="B54:E54"/>
    <mergeCell ref="C55:E55"/>
    <mergeCell ref="C56:E56"/>
    <mergeCell ref="C57:E57"/>
    <mergeCell ref="C58:E58"/>
    <mergeCell ref="C59:E59"/>
    <mergeCell ref="C60:E60"/>
    <mergeCell ref="C61:E61"/>
    <mergeCell ref="B77:J77"/>
    <mergeCell ref="B104:J104"/>
    <mergeCell ref="B114:J114"/>
    <mergeCell ref="B121:H121"/>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K122"/>
  <sheetViews>
    <sheetView zoomScaleNormal="100" workbookViewId="0">
      <selection activeCell="C109" sqref="C109"/>
    </sheetView>
  </sheetViews>
  <sheetFormatPr defaultColWidth="13.6640625" defaultRowHeight="14.4" x14ac:dyDescent="0.3"/>
  <cols>
    <col min="1" max="16384" width="13.6640625" style="13"/>
  </cols>
  <sheetData>
    <row r="1" spans="2:5" ht="14.25" customHeight="1" x14ac:dyDescent="0.3">
      <c r="B1" s="62" t="s">
        <v>130</v>
      </c>
      <c r="C1" s="62"/>
      <c r="D1" s="62"/>
      <c r="E1" s="62"/>
    </row>
    <row r="2" spans="2:5" ht="14.25" customHeight="1" x14ac:dyDescent="0.3">
      <c r="B2" s="16" t="s">
        <v>131</v>
      </c>
      <c r="C2" s="68" t="s">
        <v>68</v>
      </c>
      <c r="D2" s="68"/>
      <c r="E2" s="68"/>
    </row>
    <row r="3" spans="2:5" ht="28.35" customHeight="1" x14ac:dyDescent="0.3">
      <c r="B3" s="16" t="s">
        <v>132</v>
      </c>
      <c r="C3" s="68" t="s">
        <v>1390</v>
      </c>
      <c r="D3" s="68"/>
      <c r="E3" s="68"/>
    </row>
    <row r="4" spans="2:5" ht="27" customHeight="1" x14ac:dyDescent="0.3">
      <c r="B4" s="16" t="s">
        <v>134</v>
      </c>
      <c r="C4" s="68" t="s">
        <v>1391</v>
      </c>
      <c r="D4" s="68"/>
      <c r="E4" s="68"/>
    </row>
    <row r="5" spans="2:5" ht="28.35" customHeight="1" x14ac:dyDescent="0.3">
      <c r="B5" s="16" t="s">
        <v>136</v>
      </c>
      <c r="C5" s="68" t="s">
        <v>1392</v>
      </c>
      <c r="D5" s="68"/>
      <c r="E5" s="68"/>
    </row>
    <row r="6" spans="2:5" ht="27" customHeight="1" x14ac:dyDescent="0.3">
      <c r="B6" s="16" t="s">
        <v>138</v>
      </c>
      <c r="C6" s="68" t="s">
        <v>139</v>
      </c>
      <c r="D6" s="68"/>
      <c r="E6" s="68"/>
    </row>
    <row r="7" spans="2:5" ht="28.35" customHeight="1" x14ac:dyDescent="0.3">
      <c r="B7" s="16" t="s">
        <v>140</v>
      </c>
      <c r="C7" s="68" t="s">
        <v>1393</v>
      </c>
      <c r="D7" s="68"/>
      <c r="E7" s="68"/>
    </row>
    <row r="8" spans="2:5" x14ac:dyDescent="0.3">
      <c r="B8" s="34"/>
      <c r="C8" s="57"/>
      <c r="D8" s="57"/>
      <c r="E8" s="57"/>
    </row>
    <row r="9" spans="2:5" ht="15" customHeight="1" x14ac:dyDescent="0.3">
      <c r="B9" s="17" t="s">
        <v>142</v>
      </c>
      <c r="C9" s="34"/>
      <c r="D9" s="34"/>
      <c r="E9" s="34"/>
    </row>
    <row r="10" spans="2:5" ht="14.25" customHeight="1" x14ac:dyDescent="0.3">
      <c r="B10" s="60" t="s">
        <v>143</v>
      </c>
      <c r="C10" s="60"/>
      <c r="D10" s="60"/>
      <c r="E10" s="60"/>
    </row>
    <row r="11" spans="2:5" ht="41.25" customHeight="1" x14ac:dyDescent="0.3">
      <c r="B11" s="31" t="s">
        <v>1394</v>
      </c>
      <c r="C11" s="71" t="s">
        <v>1395</v>
      </c>
      <c r="D11" s="71"/>
      <c r="E11" s="71"/>
    </row>
    <row r="12" spans="2:5" ht="41.25" customHeight="1" x14ac:dyDescent="0.3">
      <c r="B12" s="31" t="s">
        <v>1396</v>
      </c>
      <c r="C12" s="71" t="s">
        <v>1397</v>
      </c>
      <c r="D12" s="71"/>
      <c r="E12" s="71"/>
    </row>
    <row r="13" spans="2:5" ht="54.75" customHeight="1" x14ac:dyDescent="0.3">
      <c r="B13" s="31" t="s">
        <v>1398</v>
      </c>
      <c r="C13" s="71" t="s">
        <v>1399</v>
      </c>
      <c r="D13" s="71"/>
      <c r="E13" s="71"/>
    </row>
    <row r="14" spans="2:5" ht="41.25" customHeight="1" x14ac:dyDescent="0.3">
      <c r="B14" s="31" t="s">
        <v>1400</v>
      </c>
      <c r="C14" s="71" t="s">
        <v>1401</v>
      </c>
      <c r="D14" s="71"/>
      <c r="E14" s="71"/>
    </row>
    <row r="15" spans="2:5" ht="96" customHeight="1" x14ac:dyDescent="0.3">
      <c r="B15" s="31" t="s">
        <v>1402</v>
      </c>
      <c r="C15" s="71" t="s">
        <v>1403</v>
      </c>
      <c r="D15" s="71"/>
      <c r="E15" s="71"/>
    </row>
    <row r="16" spans="2:5" ht="27" customHeight="1" x14ac:dyDescent="0.3">
      <c r="B16" s="31" t="s">
        <v>1404</v>
      </c>
      <c r="C16" s="71" t="s">
        <v>1405</v>
      </c>
      <c r="D16" s="71"/>
      <c r="E16" s="71"/>
    </row>
    <row r="17" spans="2:5" ht="54.75" customHeight="1" x14ac:dyDescent="0.3">
      <c r="B17" s="31" t="s">
        <v>1406</v>
      </c>
      <c r="C17" s="71" t="s">
        <v>1407</v>
      </c>
      <c r="D17" s="71"/>
      <c r="E17" s="71"/>
    </row>
    <row r="19" spans="2:5" ht="14.25" customHeight="1" x14ac:dyDescent="0.3">
      <c r="B19" s="60" t="s">
        <v>152</v>
      </c>
      <c r="C19" s="60"/>
      <c r="D19" s="60"/>
    </row>
    <row r="20" spans="2:5" x14ac:dyDescent="0.3">
      <c r="B20" s="22" t="s">
        <v>153</v>
      </c>
      <c r="C20" s="22" t="s">
        <v>154</v>
      </c>
      <c r="D20" s="22" t="s">
        <v>155</v>
      </c>
    </row>
    <row r="21" spans="2:5" ht="54.75" customHeight="1" x14ac:dyDescent="0.3">
      <c r="B21" s="41">
        <v>1</v>
      </c>
      <c r="C21" s="3" t="s">
        <v>1408</v>
      </c>
      <c r="D21" s="41" t="s">
        <v>1409</v>
      </c>
    </row>
    <row r="22" spans="2:5" ht="96" customHeight="1" x14ac:dyDescent="0.3">
      <c r="B22" s="41">
        <v>2</v>
      </c>
      <c r="C22" s="3" t="s">
        <v>1410</v>
      </c>
      <c r="D22" s="41" t="s">
        <v>1411</v>
      </c>
    </row>
    <row r="23" spans="2:5" ht="96" customHeight="1" x14ac:dyDescent="0.3">
      <c r="B23" s="41">
        <v>3</v>
      </c>
      <c r="C23" s="3" t="s">
        <v>1412</v>
      </c>
      <c r="D23" s="41" t="s">
        <v>1413</v>
      </c>
    </row>
    <row r="24" spans="2:5" ht="69" customHeight="1" x14ac:dyDescent="0.3">
      <c r="B24" s="41">
        <v>4</v>
      </c>
      <c r="C24" s="3" t="s">
        <v>1414</v>
      </c>
      <c r="D24" s="41" t="s">
        <v>1415</v>
      </c>
    </row>
    <row r="25" spans="2:5" ht="69" customHeight="1" x14ac:dyDescent="0.3">
      <c r="B25" s="41">
        <v>5</v>
      </c>
      <c r="C25" s="3" t="s">
        <v>1416</v>
      </c>
      <c r="D25" s="41" t="s">
        <v>1417</v>
      </c>
    </row>
    <row r="26" spans="2:5" ht="110.25" customHeight="1" x14ac:dyDescent="0.3">
      <c r="B26" s="41">
        <v>6</v>
      </c>
      <c r="C26" s="3" t="s">
        <v>1418</v>
      </c>
      <c r="D26" s="41" t="s">
        <v>1419</v>
      </c>
    </row>
    <row r="27" spans="2:5" ht="96" customHeight="1" x14ac:dyDescent="0.3">
      <c r="B27" s="41">
        <v>7</v>
      </c>
      <c r="C27" s="3" t="s">
        <v>1420</v>
      </c>
      <c r="D27" s="41" t="s">
        <v>1421</v>
      </c>
    </row>
    <row r="29" spans="2:5" ht="14.25" customHeight="1" x14ac:dyDescent="0.3">
      <c r="B29" s="60" t="s">
        <v>164</v>
      </c>
      <c r="C29" s="60"/>
    </row>
    <row r="30" spans="2:5" x14ac:dyDescent="0.3">
      <c r="B30" s="22" t="s">
        <v>165</v>
      </c>
      <c r="C30" s="22" t="s">
        <v>166</v>
      </c>
    </row>
    <row r="31" spans="2:5" ht="54.75" customHeight="1" x14ac:dyDescent="0.3">
      <c r="B31" s="44" t="s">
        <v>167</v>
      </c>
      <c r="C31" s="3" t="s">
        <v>1422</v>
      </c>
    </row>
    <row r="32" spans="2:5" ht="54.75" customHeight="1" x14ac:dyDescent="0.3">
      <c r="B32" s="44" t="s">
        <v>169</v>
      </c>
      <c r="C32" s="3" t="s">
        <v>1423</v>
      </c>
    </row>
    <row r="33" spans="2:3" ht="69" customHeight="1" x14ac:dyDescent="0.3">
      <c r="B33" s="44" t="s">
        <v>171</v>
      </c>
      <c r="C33" s="3" t="s">
        <v>1424</v>
      </c>
    </row>
    <row r="34" spans="2:3" ht="69" customHeight="1" x14ac:dyDescent="0.3">
      <c r="B34" s="44" t="s">
        <v>173</v>
      </c>
      <c r="C34" s="3" t="s">
        <v>1425</v>
      </c>
    </row>
    <row r="35" spans="2:3" ht="69" customHeight="1" x14ac:dyDescent="0.3">
      <c r="B35" s="44" t="s">
        <v>175</v>
      </c>
      <c r="C35" s="3" t="s">
        <v>1426</v>
      </c>
    </row>
    <row r="36" spans="2:3" ht="54.75" customHeight="1" x14ac:dyDescent="0.3">
      <c r="B36" s="44" t="s">
        <v>177</v>
      </c>
      <c r="C36" s="3" t="s">
        <v>1427</v>
      </c>
    </row>
    <row r="37" spans="2:3" ht="69" customHeight="1" x14ac:dyDescent="0.3">
      <c r="B37" s="44" t="s">
        <v>179</v>
      </c>
      <c r="C37" s="3" t="s">
        <v>1428</v>
      </c>
    </row>
    <row r="38" spans="2:3" ht="96" customHeight="1" x14ac:dyDescent="0.3">
      <c r="B38" s="44" t="s">
        <v>181</v>
      </c>
      <c r="C38" s="3" t="s">
        <v>1429</v>
      </c>
    </row>
    <row r="39" spans="2:3" ht="41.25" customHeight="1" x14ac:dyDescent="0.3">
      <c r="B39" s="44" t="s">
        <v>183</v>
      </c>
      <c r="C39" s="3" t="s">
        <v>1430</v>
      </c>
    </row>
    <row r="40" spans="2:3" ht="41.25" customHeight="1" x14ac:dyDescent="0.3">
      <c r="B40" s="31" t="s">
        <v>1431</v>
      </c>
      <c r="C40" s="3" t="s">
        <v>1432</v>
      </c>
    </row>
    <row r="41" spans="2:3" ht="27" customHeight="1" x14ac:dyDescent="0.3">
      <c r="B41" s="31" t="s">
        <v>1433</v>
      </c>
      <c r="C41" s="3" t="s">
        <v>1434</v>
      </c>
    </row>
    <row r="42" spans="2:3" ht="41.25" customHeight="1" x14ac:dyDescent="0.3">
      <c r="B42" s="31" t="s">
        <v>1435</v>
      </c>
      <c r="C42" s="3" t="s">
        <v>1436</v>
      </c>
    </row>
    <row r="43" spans="2:3" x14ac:dyDescent="0.3">
      <c r="B43" s="31" t="s">
        <v>1437</v>
      </c>
      <c r="C43" s="23" t="s">
        <v>1438</v>
      </c>
    </row>
    <row r="44" spans="2:3" ht="41.25" customHeight="1" x14ac:dyDescent="0.3">
      <c r="B44" s="31" t="s">
        <v>1439</v>
      </c>
      <c r="C44" s="3" t="s">
        <v>1440</v>
      </c>
    </row>
    <row r="45" spans="2:3" ht="41.25" customHeight="1" x14ac:dyDescent="0.3">
      <c r="B45" s="31" t="s">
        <v>1441</v>
      </c>
      <c r="C45" s="3" t="s">
        <v>1442</v>
      </c>
    </row>
    <row r="46" spans="2:3" ht="138" customHeight="1" x14ac:dyDescent="0.3">
      <c r="B46" s="31" t="s">
        <v>1443</v>
      </c>
      <c r="C46" s="3" t="s">
        <v>1444</v>
      </c>
    </row>
    <row r="47" spans="2:3" ht="110.25" customHeight="1" x14ac:dyDescent="0.3">
      <c r="B47" s="31" t="s">
        <v>1445</v>
      </c>
      <c r="C47" s="3" t="s">
        <v>1446</v>
      </c>
    </row>
    <row r="49" spans="2:10" ht="30.75" customHeight="1" x14ac:dyDescent="0.3">
      <c r="B49" s="17" t="s">
        <v>185</v>
      </c>
      <c r="C49" s="34"/>
      <c r="D49" s="34"/>
      <c r="E49" s="34"/>
    </row>
    <row r="50" spans="2:10" ht="14.25" customHeight="1" x14ac:dyDescent="0.3">
      <c r="B50" s="62" t="s">
        <v>186</v>
      </c>
      <c r="C50" s="62"/>
      <c r="D50" s="62"/>
      <c r="E50" s="62"/>
    </row>
    <row r="51" spans="2:10" ht="53.7" customHeight="1" x14ac:dyDescent="0.3">
      <c r="B51" s="35" t="s">
        <v>187</v>
      </c>
      <c r="C51" s="63" t="s">
        <v>1447</v>
      </c>
      <c r="D51" s="63"/>
      <c r="E51" s="63"/>
    </row>
    <row r="52" spans="2:10" ht="28.5" customHeight="1" x14ac:dyDescent="0.3">
      <c r="B52" s="35" t="s">
        <v>189</v>
      </c>
      <c r="C52" s="63" t="s">
        <v>1448</v>
      </c>
      <c r="D52" s="63"/>
      <c r="E52" s="63"/>
    </row>
    <row r="53" spans="2:10" ht="79.8" customHeight="1" x14ac:dyDescent="0.3">
      <c r="B53" s="35" t="s">
        <v>191</v>
      </c>
      <c r="C53" s="64" t="s">
        <v>1449</v>
      </c>
      <c r="D53" s="64"/>
      <c r="E53" s="64"/>
    </row>
    <row r="54" spans="2:10" ht="28.5" customHeight="1" x14ac:dyDescent="0.3">
      <c r="B54" s="35" t="s">
        <v>193</v>
      </c>
      <c r="C54" s="68" t="s">
        <v>1450</v>
      </c>
      <c r="D54" s="68"/>
      <c r="E54" s="68"/>
    </row>
    <row r="56" spans="2:10" ht="46.5" customHeight="1" x14ac:dyDescent="0.3">
      <c r="B56" s="17" t="s">
        <v>195</v>
      </c>
      <c r="C56" s="34"/>
      <c r="D56" s="34"/>
      <c r="E56" s="34"/>
      <c r="F56" s="34"/>
      <c r="G56" s="34"/>
      <c r="H56" s="34"/>
      <c r="I56" s="34"/>
      <c r="J56" s="34"/>
    </row>
    <row r="57" spans="2:10" ht="27" customHeight="1" x14ac:dyDescent="0.3">
      <c r="B57" s="26" t="s">
        <v>196</v>
      </c>
      <c r="C57" s="26" t="s">
        <v>197</v>
      </c>
      <c r="D57" s="26">
        <v>2</v>
      </c>
      <c r="E57" s="26">
        <v>3</v>
      </c>
      <c r="F57" s="26">
        <v>4</v>
      </c>
      <c r="G57" s="26">
        <v>5</v>
      </c>
      <c r="H57" s="26">
        <v>6</v>
      </c>
      <c r="I57" s="26">
        <v>7</v>
      </c>
      <c r="J57" s="26">
        <v>8</v>
      </c>
    </row>
    <row r="58" spans="2:10" ht="69" customHeight="1" x14ac:dyDescent="0.3">
      <c r="B58" s="27" t="s">
        <v>130</v>
      </c>
      <c r="C58" s="27" t="s">
        <v>1451</v>
      </c>
      <c r="D58" s="27" t="s">
        <v>1452</v>
      </c>
      <c r="E58" s="27" t="s">
        <v>1453</v>
      </c>
      <c r="F58" s="27" t="s">
        <v>1454</v>
      </c>
      <c r="G58" s="27" t="s">
        <v>1455</v>
      </c>
      <c r="H58" s="27" t="s">
        <v>1456</v>
      </c>
      <c r="I58" s="27" t="s">
        <v>1457</v>
      </c>
      <c r="J58" s="27" t="s">
        <v>1458</v>
      </c>
    </row>
    <row r="59" spans="2:10" ht="96" customHeight="1" x14ac:dyDescent="0.3">
      <c r="B59" s="16" t="s">
        <v>208</v>
      </c>
      <c r="C59" s="3" t="s">
        <v>1459</v>
      </c>
      <c r="D59" s="3" t="s">
        <v>1460</v>
      </c>
      <c r="E59" s="3" t="s">
        <v>1461</v>
      </c>
      <c r="F59" s="3" t="s">
        <v>1462</v>
      </c>
      <c r="G59" s="3" t="s">
        <v>1463</v>
      </c>
      <c r="H59" s="3" t="s">
        <v>1464</v>
      </c>
      <c r="I59" s="3" t="s">
        <v>1465</v>
      </c>
      <c r="J59" s="3" t="s">
        <v>1466</v>
      </c>
    </row>
    <row r="60" spans="2:10" ht="41.25" customHeight="1" x14ac:dyDescent="0.3">
      <c r="B60" s="16" t="s">
        <v>167</v>
      </c>
      <c r="C60" s="23" t="s">
        <v>1467</v>
      </c>
      <c r="D60" s="23" t="s">
        <v>240</v>
      </c>
      <c r="E60" s="3" t="s">
        <v>1468</v>
      </c>
      <c r="F60" s="23" t="s">
        <v>221</v>
      </c>
      <c r="G60" s="3" t="s">
        <v>1469</v>
      </c>
      <c r="H60" s="3" t="s">
        <v>1470</v>
      </c>
      <c r="I60" s="23" t="s">
        <v>222</v>
      </c>
      <c r="J60" s="3" t="s">
        <v>784</v>
      </c>
    </row>
    <row r="61" spans="2:10" x14ac:dyDescent="0.3">
      <c r="B61" s="16" t="s">
        <v>169</v>
      </c>
      <c r="C61" s="23" t="s">
        <v>1471</v>
      </c>
      <c r="D61" s="23" t="s">
        <v>1471</v>
      </c>
      <c r="E61" s="23" t="s">
        <v>1471</v>
      </c>
      <c r="F61" s="23" t="s">
        <v>1472</v>
      </c>
      <c r="G61" s="23" t="s">
        <v>1473</v>
      </c>
      <c r="H61" s="23" t="s">
        <v>1474</v>
      </c>
      <c r="I61" s="23" t="s">
        <v>229</v>
      </c>
      <c r="J61" s="23" t="s">
        <v>229</v>
      </c>
    </row>
    <row r="62" spans="2:10" x14ac:dyDescent="0.3">
      <c r="B62" s="16" t="s">
        <v>231</v>
      </c>
      <c r="C62" s="23" t="s">
        <v>219</v>
      </c>
      <c r="D62" s="23" t="s">
        <v>219</v>
      </c>
      <c r="E62" s="23" t="s">
        <v>232</v>
      </c>
      <c r="F62" s="23" t="s">
        <v>232</v>
      </c>
      <c r="G62" s="23" t="s">
        <v>256</v>
      </c>
      <c r="H62" s="23" t="s">
        <v>219</v>
      </c>
      <c r="I62" s="23" t="s">
        <v>232</v>
      </c>
      <c r="J62" s="23" t="s">
        <v>232</v>
      </c>
    </row>
    <row r="63" spans="2:10" ht="41.25" customHeight="1" x14ac:dyDescent="0.3">
      <c r="B63" s="16" t="s">
        <v>177</v>
      </c>
      <c r="C63" s="3" t="s">
        <v>961</v>
      </c>
      <c r="D63" s="23" t="s">
        <v>233</v>
      </c>
      <c r="E63" s="23" t="s">
        <v>233</v>
      </c>
      <c r="F63" s="23" t="s">
        <v>1475</v>
      </c>
      <c r="G63" s="23" t="s">
        <v>233</v>
      </c>
      <c r="H63" s="3" t="s">
        <v>1476</v>
      </c>
      <c r="I63" s="23" t="s">
        <v>817</v>
      </c>
      <c r="J63" s="23" t="s">
        <v>817</v>
      </c>
    </row>
    <row r="64" spans="2:10" x14ac:dyDescent="0.3">
      <c r="B64" s="16" t="s">
        <v>179</v>
      </c>
      <c r="C64" s="23" t="s">
        <v>1477</v>
      </c>
      <c r="D64" s="23" t="s">
        <v>1477</v>
      </c>
      <c r="E64" s="23" t="s">
        <v>223</v>
      </c>
      <c r="F64" s="23" t="s">
        <v>223</v>
      </c>
      <c r="G64" s="23" t="s">
        <v>223</v>
      </c>
      <c r="H64" s="23" t="s">
        <v>223</v>
      </c>
      <c r="I64" s="23" t="s">
        <v>223</v>
      </c>
      <c r="J64" s="23" t="s">
        <v>223</v>
      </c>
    </row>
    <row r="65" spans="2:10" ht="27" customHeight="1" x14ac:dyDescent="0.3">
      <c r="B65" s="16" t="s">
        <v>238</v>
      </c>
      <c r="C65" s="3" t="s">
        <v>1478</v>
      </c>
      <c r="D65" s="23" t="s">
        <v>223</v>
      </c>
      <c r="E65" s="23" t="s">
        <v>239</v>
      </c>
      <c r="F65" s="23" t="s">
        <v>239</v>
      </c>
      <c r="G65" s="23" t="s">
        <v>1479</v>
      </c>
      <c r="H65" s="23" t="s">
        <v>239</v>
      </c>
      <c r="I65" s="23" t="s">
        <v>239</v>
      </c>
      <c r="J65" s="23" t="s">
        <v>239</v>
      </c>
    </row>
    <row r="66" spans="2:10" x14ac:dyDescent="0.3">
      <c r="B66" s="16" t="s">
        <v>181</v>
      </c>
      <c r="C66" s="23" t="s">
        <v>232</v>
      </c>
      <c r="D66" s="23" t="s">
        <v>232</v>
      </c>
      <c r="E66" s="23" t="s">
        <v>232</v>
      </c>
      <c r="F66" s="23" t="s">
        <v>232</v>
      </c>
      <c r="G66" s="23" t="s">
        <v>232</v>
      </c>
      <c r="H66" s="23" t="s">
        <v>232</v>
      </c>
      <c r="I66" s="23" t="s">
        <v>232</v>
      </c>
      <c r="J66" s="23" t="s">
        <v>232</v>
      </c>
    </row>
    <row r="67" spans="2:10" ht="27" customHeight="1" x14ac:dyDescent="0.3">
      <c r="B67" s="16" t="s">
        <v>183</v>
      </c>
      <c r="C67" s="23" t="s">
        <v>228</v>
      </c>
      <c r="D67" s="23" t="s">
        <v>228</v>
      </c>
      <c r="E67" s="23" t="s">
        <v>228</v>
      </c>
      <c r="F67" s="23" t="s">
        <v>228</v>
      </c>
      <c r="G67" s="23" t="s">
        <v>228</v>
      </c>
      <c r="H67" s="23" t="s">
        <v>228</v>
      </c>
      <c r="I67" s="23" t="s">
        <v>228</v>
      </c>
      <c r="J67" s="23" t="s">
        <v>228</v>
      </c>
    </row>
    <row r="68" spans="2:10" ht="110.25" customHeight="1" x14ac:dyDescent="0.3">
      <c r="B68" s="16" t="s">
        <v>243</v>
      </c>
      <c r="C68" s="3" t="s">
        <v>1480</v>
      </c>
      <c r="D68" s="3" t="s">
        <v>1481</v>
      </c>
      <c r="E68" s="3" t="s">
        <v>1482</v>
      </c>
      <c r="F68" s="3" t="s">
        <v>1483</v>
      </c>
      <c r="G68" s="3" t="s">
        <v>1484</v>
      </c>
      <c r="H68" s="3" t="s">
        <v>1485</v>
      </c>
      <c r="I68" s="3" t="s">
        <v>1486</v>
      </c>
      <c r="J68" s="3" t="s">
        <v>1487</v>
      </c>
    </row>
    <row r="69" spans="2:10" x14ac:dyDescent="0.3">
      <c r="B69" s="18"/>
      <c r="C69" s="9"/>
      <c r="D69" s="9"/>
      <c r="E69" s="9"/>
      <c r="F69" s="9"/>
      <c r="G69" s="9"/>
      <c r="H69" s="9"/>
      <c r="I69" s="9"/>
      <c r="J69" s="9"/>
    </row>
    <row r="70" spans="2:10" ht="14.25" customHeight="1" x14ac:dyDescent="0.3">
      <c r="B70" s="60" t="s">
        <v>254</v>
      </c>
      <c r="C70" s="60"/>
      <c r="D70" s="60"/>
      <c r="E70" s="60"/>
      <c r="F70" s="60"/>
      <c r="G70" s="60"/>
      <c r="H70" s="60"/>
      <c r="I70" s="60"/>
      <c r="J70" s="60"/>
    </row>
    <row r="71" spans="2:10" ht="27" customHeight="1" x14ac:dyDescent="0.3">
      <c r="B71" s="22" t="s">
        <v>255</v>
      </c>
      <c r="C71" s="22" t="s">
        <v>167</v>
      </c>
      <c r="D71" s="22" t="s">
        <v>169</v>
      </c>
      <c r="E71" s="22" t="s">
        <v>171</v>
      </c>
      <c r="F71" s="22" t="s">
        <v>177</v>
      </c>
      <c r="G71" s="22" t="s">
        <v>179</v>
      </c>
      <c r="H71" s="22" t="s">
        <v>175</v>
      </c>
      <c r="I71" s="22" t="s">
        <v>181</v>
      </c>
      <c r="J71" s="22" t="s">
        <v>183</v>
      </c>
    </row>
    <row r="72" spans="2:10" x14ac:dyDescent="0.3">
      <c r="B72" s="31">
        <v>1</v>
      </c>
      <c r="C72" s="23" t="s">
        <v>219</v>
      </c>
      <c r="D72" s="23" t="s">
        <v>1471</v>
      </c>
      <c r="E72" s="23" t="s">
        <v>219</v>
      </c>
      <c r="F72" s="23" t="s">
        <v>233</v>
      </c>
      <c r="G72" s="23" t="s">
        <v>1477</v>
      </c>
      <c r="H72" s="23" t="s">
        <v>965</v>
      </c>
      <c r="I72" s="23" t="s">
        <v>232</v>
      </c>
      <c r="J72" s="44" t="s">
        <v>228</v>
      </c>
    </row>
    <row r="73" spans="2:10" x14ac:dyDescent="0.3">
      <c r="B73" s="31">
        <v>2</v>
      </c>
      <c r="C73" s="23" t="s">
        <v>240</v>
      </c>
      <c r="D73" s="23" t="s">
        <v>1471</v>
      </c>
      <c r="E73" s="23" t="s">
        <v>219</v>
      </c>
      <c r="F73" s="23" t="s">
        <v>233</v>
      </c>
      <c r="G73" s="23" t="s">
        <v>1477</v>
      </c>
      <c r="H73" s="23" t="s">
        <v>223</v>
      </c>
      <c r="I73" s="23" t="s">
        <v>232</v>
      </c>
      <c r="J73" s="44" t="s">
        <v>228</v>
      </c>
    </row>
    <row r="74" spans="2:10" x14ac:dyDescent="0.3">
      <c r="B74" s="31">
        <v>3</v>
      </c>
      <c r="C74" s="23" t="s">
        <v>277</v>
      </c>
      <c r="D74" s="23" t="s">
        <v>1471</v>
      </c>
      <c r="E74" s="23" t="s">
        <v>232</v>
      </c>
      <c r="F74" s="23" t="s">
        <v>233</v>
      </c>
      <c r="G74" s="23" t="s">
        <v>223</v>
      </c>
      <c r="H74" s="23" t="s">
        <v>239</v>
      </c>
      <c r="I74" s="23" t="s">
        <v>232</v>
      </c>
      <c r="J74" s="44" t="s">
        <v>228</v>
      </c>
    </row>
    <row r="75" spans="2:10" x14ac:dyDescent="0.3">
      <c r="B75" s="31">
        <v>4</v>
      </c>
      <c r="C75" s="23" t="s">
        <v>221</v>
      </c>
      <c r="D75" s="23" t="s">
        <v>1472</v>
      </c>
      <c r="E75" s="23" t="s">
        <v>232</v>
      </c>
      <c r="F75" s="23" t="s">
        <v>1488</v>
      </c>
      <c r="G75" s="23" t="s">
        <v>223</v>
      </c>
      <c r="H75" s="23" t="s">
        <v>239</v>
      </c>
      <c r="I75" s="23" t="s">
        <v>232</v>
      </c>
      <c r="J75" s="44" t="s">
        <v>228</v>
      </c>
    </row>
    <row r="76" spans="2:10" x14ac:dyDescent="0.3">
      <c r="B76" s="31">
        <v>5</v>
      </c>
      <c r="C76" s="23" t="s">
        <v>221</v>
      </c>
      <c r="D76" s="23" t="s">
        <v>1473</v>
      </c>
      <c r="E76" s="23" t="s">
        <v>256</v>
      </c>
      <c r="F76" s="23" t="s">
        <v>233</v>
      </c>
      <c r="G76" s="23" t="s">
        <v>223</v>
      </c>
      <c r="H76" s="23" t="s">
        <v>223</v>
      </c>
      <c r="I76" s="23" t="s">
        <v>232</v>
      </c>
      <c r="J76" s="44" t="s">
        <v>228</v>
      </c>
    </row>
    <row r="77" spans="2:10" x14ac:dyDescent="0.3">
      <c r="B77" s="31">
        <v>6</v>
      </c>
      <c r="C77" s="23" t="s">
        <v>221</v>
      </c>
      <c r="D77" s="23" t="s">
        <v>1474</v>
      </c>
      <c r="E77" s="23" t="s">
        <v>219</v>
      </c>
      <c r="F77" s="23" t="s">
        <v>1489</v>
      </c>
      <c r="G77" s="23" t="s">
        <v>223</v>
      </c>
      <c r="H77" s="23" t="s">
        <v>239</v>
      </c>
      <c r="I77" s="23" t="s">
        <v>232</v>
      </c>
      <c r="J77" s="44" t="s">
        <v>228</v>
      </c>
    </row>
    <row r="78" spans="2:10" x14ac:dyDescent="0.3">
      <c r="B78" s="31">
        <v>7</v>
      </c>
      <c r="C78" s="23" t="s">
        <v>258</v>
      </c>
      <c r="D78" s="23" t="s">
        <v>229</v>
      </c>
      <c r="E78" s="23" t="s">
        <v>232</v>
      </c>
      <c r="F78" s="23" t="s">
        <v>817</v>
      </c>
      <c r="G78" s="23" t="s">
        <v>223</v>
      </c>
      <c r="H78" s="23" t="s">
        <v>239</v>
      </c>
      <c r="I78" s="23" t="s">
        <v>232</v>
      </c>
      <c r="J78" s="44" t="s">
        <v>228</v>
      </c>
    </row>
    <row r="79" spans="2:10" x14ac:dyDescent="0.3">
      <c r="B79" s="31">
        <v>8</v>
      </c>
      <c r="C79" s="23" t="s">
        <v>221</v>
      </c>
      <c r="D79" s="23" t="s">
        <v>229</v>
      </c>
      <c r="E79" s="23" t="s">
        <v>232</v>
      </c>
      <c r="F79" s="23" t="s">
        <v>817</v>
      </c>
      <c r="G79" s="23" t="s">
        <v>223</v>
      </c>
      <c r="H79" s="23" t="s">
        <v>239</v>
      </c>
      <c r="I79" s="23" t="s">
        <v>232</v>
      </c>
      <c r="J79" s="44" t="s">
        <v>228</v>
      </c>
    </row>
    <row r="81" spans="2:10" ht="30.75" customHeight="1" x14ac:dyDescent="0.3">
      <c r="B81" s="17" t="s">
        <v>264</v>
      </c>
      <c r="C81" s="34"/>
      <c r="D81" s="34"/>
      <c r="E81" s="34"/>
      <c r="F81" s="34"/>
      <c r="G81" s="34"/>
      <c r="H81" s="34"/>
      <c r="I81" s="34"/>
    </row>
    <row r="82" spans="2:10" ht="27" customHeight="1" x14ac:dyDescent="0.3">
      <c r="B82" s="26" t="s">
        <v>196</v>
      </c>
      <c r="C82" s="26" t="s">
        <v>689</v>
      </c>
      <c r="D82" s="26" t="s">
        <v>690</v>
      </c>
      <c r="E82" s="26" t="s">
        <v>691</v>
      </c>
      <c r="F82" s="26" t="s">
        <v>692</v>
      </c>
      <c r="G82" s="26" t="s">
        <v>983</v>
      </c>
      <c r="H82" s="26" t="s">
        <v>984</v>
      </c>
      <c r="I82" s="26" t="s">
        <v>1490</v>
      </c>
    </row>
    <row r="83" spans="2:10" ht="82.5" customHeight="1" x14ac:dyDescent="0.3">
      <c r="B83" s="27" t="s">
        <v>130</v>
      </c>
      <c r="C83" s="27" t="s">
        <v>1491</v>
      </c>
      <c r="D83" s="27" t="s">
        <v>1492</v>
      </c>
      <c r="E83" s="27" t="s">
        <v>1493</v>
      </c>
      <c r="F83" s="27" t="s">
        <v>1494</v>
      </c>
      <c r="G83" s="27" t="s">
        <v>1495</v>
      </c>
      <c r="H83" s="27" t="s">
        <v>1496</v>
      </c>
      <c r="I83" s="27" t="s">
        <v>1497</v>
      </c>
    </row>
    <row r="84" spans="2:10" ht="172.5" customHeight="1" x14ac:dyDescent="0.3">
      <c r="B84" s="16" t="s">
        <v>208</v>
      </c>
      <c r="C84" s="35" t="s">
        <v>1498</v>
      </c>
      <c r="D84" s="35" t="s">
        <v>1499</v>
      </c>
      <c r="E84" s="35" t="s">
        <v>1500</v>
      </c>
      <c r="F84" s="35" t="s">
        <v>1501</v>
      </c>
      <c r="G84" s="35" t="s">
        <v>1502</v>
      </c>
      <c r="H84" s="35" t="s">
        <v>1503</v>
      </c>
      <c r="I84" s="35" t="s">
        <v>1504</v>
      </c>
    </row>
    <row r="85" spans="2:10" x14ac:dyDescent="0.3">
      <c r="B85" s="16" t="s">
        <v>167</v>
      </c>
      <c r="C85" s="35" t="s">
        <v>223</v>
      </c>
      <c r="D85" s="25" t="s">
        <v>221</v>
      </c>
      <c r="E85" s="35" t="s">
        <v>219</v>
      </c>
      <c r="F85" s="35" t="s">
        <v>221</v>
      </c>
      <c r="G85" s="35" t="s">
        <v>221</v>
      </c>
      <c r="H85" s="35" t="s">
        <v>277</v>
      </c>
      <c r="I85" s="25" t="s">
        <v>223</v>
      </c>
    </row>
    <row r="86" spans="2:10" x14ac:dyDescent="0.3">
      <c r="B86" s="16" t="s">
        <v>169</v>
      </c>
      <c r="C86" s="35" t="s">
        <v>229</v>
      </c>
      <c r="D86" s="36" t="s">
        <v>221</v>
      </c>
      <c r="E86" s="35" t="s">
        <v>221</v>
      </c>
      <c r="F86" s="35" t="s">
        <v>278</v>
      </c>
      <c r="G86" s="25" t="s">
        <v>221</v>
      </c>
      <c r="H86" s="35" t="s">
        <v>221</v>
      </c>
      <c r="I86" s="35" t="s">
        <v>229</v>
      </c>
    </row>
    <row r="87" spans="2:10" x14ac:dyDescent="0.3">
      <c r="B87" s="16" t="s">
        <v>231</v>
      </c>
      <c r="C87" s="25" t="s">
        <v>232</v>
      </c>
      <c r="D87" s="35" t="s">
        <v>232</v>
      </c>
      <c r="E87" s="35" t="s">
        <v>232</v>
      </c>
      <c r="F87" s="35" t="s">
        <v>219</v>
      </c>
      <c r="G87" s="35" t="s">
        <v>232</v>
      </c>
      <c r="H87" s="35" t="s">
        <v>232</v>
      </c>
      <c r="I87" s="35" t="s">
        <v>232</v>
      </c>
    </row>
    <row r="88" spans="2:10" ht="28.5" customHeight="1" x14ac:dyDescent="0.3">
      <c r="B88" s="16" t="s">
        <v>177</v>
      </c>
      <c r="C88" s="25" t="s">
        <v>279</v>
      </c>
      <c r="D88" s="35" t="s">
        <v>233</v>
      </c>
      <c r="E88" s="35" t="s">
        <v>279</v>
      </c>
      <c r="F88" s="35" t="s">
        <v>233</v>
      </c>
      <c r="G88" s="35" t="s">
        <v>279</v>
      </c>
      <c r="H88" s="25" t="s">
        <v>233</v>
      </c>
      <c r="I88" s="35" t="s">
        <v>233</v>
      </c>
    </row>
    <row r="89" spans="2:10" x14ac:dyDescent="0.3">
      <c r="B89" s="16" t="s">
        <v>179</v>
      </c>
      <c r="C89" s="25" t="s">
        <v>223</v>
      </c>
      <c r="D89" s="35" t="s">
        <v>223</v>
      </c>
      <c r="E89" s="35" t="s">
        <v>223</v>
      </c>
      <c r="F89" s="35" t="s">
        <v>222</v>
      </c>
      <c r="G89" s="25" t="s">
        <v>223</v>
      </c>
      <c r="H89" s="35" t="s">
        <v>223</v>
      </c>
      <c r="I89" s="35" t="s">
        <v>223</v>
      </c>
    </row>
    <row r="90" spans="2:10" ht="27" customHeight="1" x14ac:dyDescent="0.3">
      <c r="B90" s="16" t="s">
        <v>238</v>
      </c>
      <c r="C90" s="25" t="s">
        <v>239</v>
      </c>
      <c r="D90" s="35" t="s">
        <v>239</v>
      </c>
      <c r="E90" s="35" t="s">
        <v>239</v>
      </c>
      <c r="F90" s="35" t="s">
        <v>239</v>
      </c>
      <c r="G90" s="25" t="s">
        <v>239</v>
      </c>
      <c r="H90" s="25" t="s">
        <v>239</v>
      </c>
      <c r="I90" s="35" t="s">
        <v>239</v>
      </c>
    </row>
    <row r="91" spans="2:10" x14ac:dyDescent="0.3">
      <c r="B91" s="16" t="s">
        <v>181</v>
      </c>
      <c r="C91" s="25" t="s">
        <v>232</v>
      </c>
      <c r="D91" s="35" t="s">
        <v>232</v>
      </c>
      <c r="E91" s="35" t="s">
        <v>232</v>
      </c>
      <c r="F91" s="35" t="s">
        <v>232</v>
      </c>
      <c r="G91" s="35" t="s">
        <v>232</v>
      </c>
      <c r="H91" s="35" t="s">
        <v>232</v>
      </c>
      <c r="I91" s="35" t="s">
        <v>232</v>
      </c>
    </row>
    <row r="92" spans="2:10" ht="27" customHeight="1" x14ac:dyDescent="0.3">
      <c r="B92" s="16" t="s">
        <v>183</v>
      </c>
      <c r="C92" s="25" t="s">
        <v>232</v>
      </c>
      <c r="D92" s="35" t="s">
        <v>232</v>
      </c>
      <c r="E92" s="35" t="s">
        <v>232</v>
      </c>
      <c r="F92" s="35" t="s">
        <v>232</v>
      </c>
      <c r="G92" s="25" t="s">
        <v>232</v>
      </c>
      <c r="H92" s="35" t="s">
        <v>232</v>
      </c>
      <c r="I92" s="25" t="s">
        <v>232</v>
      </c>
    </row>
    <row r="93" spans="2:10" ht="144" customHeight="1" x14ac:dyDescent="0.3">
      <c r="B93" s="16" t="s">
        <v>243</v>
      </c>
      <c r="C93" s="35" t="s">
        <v>1505</v>
      </c>
      <c r="D93" s="35" t="s">
        <v>1506</v>
      </c>
      <c r="E93" s="35" t="s">
        <v>1507</v>
      </c>
      <c r="F93" s="35" t="s">
        <v>1508</v>
      </c>
      <c r="G93" s="25" t="s">
        <v>1509</v>
      </c>
      <c r="H93" s="25" t="s">
        <v>1510</v>
      </c>
      <c r="I93" s="35" t="s">
        <v>1511</v>
      </c>
    </row>
    <row r="95" spans="2:10" ht="14.25" customHeight="1" x14ac:dyDescent="0.3">
      <c r="B95" s="60" t="s">
        <v>581</v>
      </c>
      <c r="C95" s="60"/>
      <c r="D95" s="60"/>
      <c r="E95" s="60"/>
      <c r="F95" s="60"/>
      <c r="G95" s="60"/>
      <c r="H95" s="60"/>
      <c r="I95" s="60"/>
      <c r="J95" s="60"/>
    </row>
    <row r="96" spans="2:10" ht="27" customHeight="1" x14ac:dyDescent="0.3">
      <c r="B96" s="22" t="s">
        <v>255</v>
      </c>
      <c r="C96" s="22" t="s">
        <v>167</v>
      </c>
      <c r="D96" s="22" t="s">
        <v>169</v>
      </c>
      <c r="E96" s="22" t="s">
        <v>171</v>
      </c>
      <c r="F96" s="22" t="s">
        <v>177</v>
      </c>
      <c r="G96" s="22" t="s">
        <v>179</v>
      </c>
      <c r="H96" s="22" t="s">
        <v>175</v>
      </c>
      <c r="I96" s="22" t="s">
        <v>181</v>
      </c>
      <c r="J96" s="22" t="s">
        <v>183</v>
      </c>
    </row>
    <row r="97" spans="2:10" ht="28.5" customHeight="1" x14ac:dyDescent="0.3">
      <c r="B97" s="44">
        <v>11</v>
      </c>
      <c r="C97" s="44" t="s">
        <v>223</v>
      </c>
      <c r="D97" s="44" t="s">
        <v>229</v>
      </c>
      <c r="E97" s="44" t="s">
        <v>232</v>
      </c>
      <c r="F97" s="44" t="s">
        <v>583</v>
      </c>
      <c r="G97" s="44" t="s">
        <v>223</v>
      </c>
      <c r="H97" s="44" t="s">
        <v>239</v>
      </c>
      <c r="I97" s="37" t="s">
        <v>232</v>
      </c>
      <c r="J97" s="37" t="s">
        <v>232</v>
      </c>
    </row>
    <row r="98" spans="2:10" x14ac:dyDescent="0.3">
      <c r="B98" s="44">
        <v>12</v>
      </c>
      <c r="C98" s="44" t="s">
        <v>221</v>
      </c>
      <c r="D98" s="44" t="s">
        <v>221</v>
      </c>
      <c r="E98" s="44" t="s">
        <v>232</v>
      </c>
      <c r="F98" s="44" t="s">
        <v>233</v>
      </c>
      <c r="G98" s="44" t="s">
        <v>223</v>
      </c>
      <c r="H98" s="44" t="s">
        <v>239</v>
      </c>
      <c r="I98" s="37" t="s">
        <v>232</v>
      </c>
      <c r="J98" s="37" t="s">
        <v>232</v>
      </c>
    </row>
    <row r="99" spans="2:10" ht="28.5" customHeight="1" x14ac:dyDescent="0.3">
      <c r="B99" s="44">
        <v>13</v>
      </c>
      <c r="C99" s="44" t="s">
        <v>219</v>
      </c>
      <c r="D99" s="44" t="s">
        <v>221</v>
      </c>
      <c r="E99" s="44" t="s">
        <v>232</v>
      </c>
      <c r="F99" s="44" t="s">
        <v>583</v>
      </c>
      <c r="G99" s="44" t="s">
        <v>223</v>
      </c>
      <c r="H99" s="44" t="s">
        <v>239</v>
      </c>
      <c r="I99" s="37" t="s">
        <v>232</v>
      </c>
      <c r="J99" s="37" t="s">
        <v>232</v>
      </c>
    </row>
    <row r="100" spans="2:10" x14ac:dyDescent="0.3">
      <c r="B100" s="44">
        <v>14</v>
      </c>
      <c r="C100" s="44" t="s">
        <v>221</v>
      </c>
      <c r="D100" s="44" t="s">
        <v>278</v>
      </c>
      <c r="E100" s="44" t="s">
        <v>219</v>
      </c>
      <c r="F100" s="44" t="s">
        <v>233</v>
      </c>
      <c r="G100" s="44" t="s">
        <v>258</v>
      </c>
      <c r="H100" s="44" t="s">
        <v>239</v>
      </c>
      <c r="I100" s="37" t="s">
        <v>232</v>
      </c>
      <c r="J100" s="37" t="s">
        <v>232</v>
      </c>
    </row>
    <row r="101" spans="2:10" ht="28.5" customHeight="1" x14ac:dyDescent="0.3">
      <c r="B101" s="44">
        <v>15</v>
      </c>
      <c r="C101" s="44" t="s">
        <v>221</v>
      </c>
      <c r="D101" s="44" t="s">
        <v>221</v>
      </c>
      <c r="E101" s="44" t="s">
        <v>232</v>
      </c>
      <c r="F101" s="44" t="s">
        <v>583</v>
      </c>
      <c r="G101" s="44" t="s">
        <v>223</v>
      </c>
      <c r="H101" s="44" t="s">
        <v>239</v>
      </c>
      <c r="I101" s="37" t="s">
        <v>232</v>
      </c>
      <c r="J101" s="37" t="s">
        <v>232</v>
      </c>
    </row>
    <row r="102" spans="2:10" x14ac:dyDescent="0.3">
      <c r="B102" s="44">
        <v>16</v>
      </c>
      <c r="C102" s="44" t="s">
        <v>277</v>
      </c>
      <c r="D102" s="44" t="s">
        <v>221</v>
      </c>
      <c r="E102" s="44" t="s">
        <v>232</v>
      </c>
      <c r="F102" s="44" t="s">
        <v>233</v>
      </c>
      <c r="G102" s="44" t="s">
        <v>223</v>
      </c>
      <c r="H102" s="44" t="s">
        <v>239</v>
      </c>
      <c r="I102" s="37" t="s">
        <v>232</v>
      </c>
      <c r="J102" s="37" t="s">
        <v>232</v>
      </c>
    </row>
    <row r="103" spans="2:10" x14ac:dyDescent="0.3">
      <c r="B103" s="44">
        <v>17</v>
      </c>
      <c r="C103" s="44" t="s">
        <v>223</v>
      </c>
      <c r="D103" s="44" t="s">
        <v>229</v>
      </c>
      <c r="E103" s="44" t="s">
        <v>232</v>
      </c>
      <c r="F103" s="44" t="s">
        <v>233</v>
      </c>
      <c r="G103" s="44" t="s">
        <v>223</v>
      </c>
      <c r="H103" s="44" t="s">
        <v>239</v>
      </c>
      <c r="I103" s="37" t="s">
        <v>232</v>
      </c>
      <c r="J103" s="37" t="s">
        <v>232</v>
      </c>
    </row>
    <row r="105" spans="2:10" ht="14.25" customHeight="1" x14ac:dyDescent="0.3">
      <c r="B105" s="60" t="s">
        <v>288</v>
      </c>
      <c r="C105" s="60"/>
      <c r="D105" s="60"/>
      <c r="E105" s="60"/>
      <c r="F105" s="60"/>
      <c r="G105" s="60"/>
      <c r="H105" s="60"/>
      <c r="I105" s="60"/>
      <c r="J105" s="60"/>
    </row>
    <row r="106" spans="2:10" ht="27" customHeight="1" x14ac:dyDescent="0.3">
      <c r="B106" s="22" t="s">
        <v>289</v>
      </c>
      <c r="C106" s="22" t="s">
        <v>1512</v>
      </c>
      <c r="D106" s="22" t="s">
        <v>1006</v>
      </c>
      <c r="E106" s="22" t="s">
        <v>1513</v>
      </c>
      <c r="F106" s="22" t="s">
        <v>1514</v>
      </c>
      <c r="G106" s="22" t="s">
        <v>1515</v>
      </c>
      <c r="H106" s="22" t="s">
        <v>835</v>
      </c>
      <c r="I106" s="22" t="s">
        <v>177</v>
      </c>
      <c r="J106" s="22" t="s">
        <v>1516</v>
      </c>
    </row>
    <row r="107" spans="2:10" ht="28.5" customHeight="1" x14ac:dyDescent="0.3">
      <c r="B107" s="31">
        <v>1</v>
      </c>
      <c r="C107" s="3" t="s">
        <v>1517</v>
      </c>
      <c r="D107" s="23" t="s">
        <v>1518</v>
      </c>
      <c r="E107" s="3" t="s">
        <v>1519</v>
      </c>
      <c r="F107" s="23" t="s">
        <v>1520</v>
      </c>
      <c r="G107" s="23" t="s">
        <v>1521</v>
      </c>
      <c r="H107" s="23" t="s">
        <v>228</v>
      </c>
      <c r="I107" s="3" t="s">
        <v>292</v>
      </c>
      <c r="J107" s="44" t="s">
        <v>1522</v>
      </c>
    </row>
    <row r="108" spans="2:10" ht="28.5" customHeight="1" x14ac:dyDescent="0.3">
      <c r="B108" s="31">
        <v>2</v>
      </c>
      <c r="C108" s="23" t="s">
        <v>850</v>
      </c>
      <c r="D108" s="3" t="s">
        <v>1523</v>
      </c>
      <c r="E108" s="3" t="s">
        <v>1524</v>
      </c>
      <c r="F108" s="23" t="s">
        <v>850</v>
      </c>
      <c r="G108" s="23" t="s">
        <v>1525</v>
      </c>
      <c r="H108" s="3" t="s">
        <v>1526</v>
      </c>
      <c r="I108" s="23" t="s">
        <v>297</v>
      </c>
      <c r="J108" s="44" t="s">
        <v>1527</v>
      </c>
    </row>
    <row r="109" spans="2:10" ht="28.5" customHeight="1" x14ac:dyDescent="0.3">
      <c r="B109" s="31">
        <v>3</v>
      </c>
      <c r="C109" s="3" t="s">
        <v>1528</v>
      </c>
      <c r="D109" s="3" t="s">
        <v>1529</v>
      </c>
      <c r="E109" s="3" t="s">
        <v>1530</v>
      </c>
      <c r="F109" s="23" t="s">
        <v>1177</v>
      </c>
      <c r="G109" s="3" t="s">
        <v>1531</v>
      </c>
      <c r="H109" s="23" t="s">
        <v>1532</v>
      </c>
      <c r="I109" s="23" t="s">
        <v>1533</v>
      </c>
      <c r="J109" s="35" t="s">
        <v>1534</v>
      </c>
    </row>
    <row r="110" spans="2:10" ht="28.5" customHeight="1" x14ac:dyDescent="0.3">
      <c r="B110" s="31">
        <v>4</v>
      </c>
      <c r="C110" s="3" t="s">
        <v>1535</v>
      </c>
      <c r="D110" s="3" t="s">
        <v>1536</v>
      </c>
      <c r="E110" s="23" t="s">
        <v>1537</v>
      </c>
      <c r="F110" s="23" t="s">
        <v>842</v>
      </c>
      <c r="G110" s="23" t="s">
        <v>1538</v>
      </c>
      <c r="H110" s="3" t="s">
        <v>1539</v>
      </c>
      <c r="I110" s="3" t="s">
        <v>1540</v>
      </c>
      <c r="J110" s="35" t="s">
        <v>1541</v>
      </c>
    </row>
    <row r="111" spans="2:10" x14ac:dyDescent="0.3">
      <c r="B111" s="34"/>
      <c r="C111" s="34"/>
      <c r="D111" s="34"/>
      <c r="E111" s="34"/>
      <c r="F111" s="34"/>
      <c r="G111" s="34"/>
      <c r="H111" s="34"/>
      <c r="I111" s="34"/>
      <c r="J111" s="34"/>
    </row>
    <row r="112" spans="2:10" ht="14.25" customHeight="1" x14ac:dyDescent="0.3">
      <c r="B112" s="61" t="s">
        <v>306</v>
      </c>
      <c r="C112" s="61"/>
      <c r="D112" s="61"/>
      <c r="E112" s="61"/>
      <c r="F112" s="61"/>
      <c r="G112" s="61"/>
      <c r="H112" s="61"/>
      <c r="I112" s="34"/>
      <c r="J112" s="34"/>
    </row>
    <row r="113" spans="2:11" ht="41.25" customHeight="1" x14ac:dyDescent="0.3">
      <c r="B113" s="27" t="s">
        <v>255</v>
      </c>
      <c r="C113" s="27" t="s">
        <v>167</v>
      </c>
      <c r="D113" s="27" t="s">
        <v>307</v>
      </c>
      <c r="E113" s="27" t="s">
        <v>308</v>
      </c>
      <c r="F113" s="27" t="s">
        <v>309</v>
      </c>
      <c r="G113" s="27" t="s">
        <v>181</v>
      </c>
      <c r="H113" s="27" t="s">
        <v>310</v>
      </c>
      <c r="I113" s="34"/>
      <c r="J113" s="46"/>
      <c r="K113" s="46"/>
    </row>
    <row r="114" spans="2:11" x14ac:dyDescent="0.3">
      <c r="B114" s="22" t="s">
        <v>255</v>
      </c>
      <c r="C114" s="22" t="s">
        <v>167</v>
      </c>
      <c r="D114" s="22" t="s">
        <v>311</v>
      </c>
      <c r="E114" s="22" t="s">
        <v>308</v>
      </c>
      <c r="F114" s="22" t="s">
        <v>312</v>
      </c>
      <c r="G114" s="22" t="s">
        <v>181</v>
      </c>
      <c r="H114" s="22" t="s">
        <v>313</v>
      </c>
      <c r="I114" s="34"/>
      <c r="J114" s="46"/>
      <c r="K114" s="46"/>
    </row>
    <row r="115" spans="2:11" x14ac:dyDescent="0.3">
      <c r="B115" s="31">
        <v>1</v>
      </c>
      <c r="C115" s="23">
        <v>5</v>
      </c>
      <c r="D115" s="23">
        <v>5</v>
      </c>
      <c r="E115" s="23">
        <v>5</v>
      </c>
      <c r="F115" s="23">
        <v>5</v>
      </c>
      <c r="G115" s="23">
        <v>3</v>
      </c>
      <c r="H115" s="39">
        <f t="shared" ref="H115:H122" si="0">AVERAGE(C115:G115)</f>
        <v>4.5999999999999996</v>
      </c>
      <c r="I115" s="34"/>
      <c r="J115" s="46"/>
      <c r="K115" s="46"/>
    </row>
    <row r="116" spans="2:11" x14ac:dyDescent="0.3">
      <c r="B116" s="31">
        <v>2</v>
      </c>
      <c r="C116" s="23">
        <v>4</v>
      </c>
      <c r="D116" s="23">
        <v>5</v>
      </c>
      <c r="E116" s="23">
        <v>5</v>
      </c>
      <c r="F116" s="23">
        <v>5</v>
      </c>
      <c r="G116" s="23">
        <v>3</v>
      </c>
      <c r="H116" s="39">
        <f t="shared" si="0"/>
        <v>4.4000000000000004</v>
      </c>
      <c r="I116" s="34"/>
      <c r="J116" s="46"/>
      <c r="K116" s="46"/>
    </row>
    <row r="117" spans="2:11" x14ac:dyDescent="0.3">
      <c r="B117" s="31">
        <v>3</v>
      </c>
      <c r="C117" s="23">
        <v>3</v>
      </c>
      <c r="D117" s="23">
        <v>5</v>
      </c>
      <c r="E117" s="23">
        <v>4</v>
      </c>
      <c r="F117" s="23">
        <v>4</v>
      </c>
      <c r="G117" s="23">
        <v>3</v>
      </c>
      <c r="H117" s="39">
        <f t="shared" si="0"/>
        <v>3.8</v>
      </c>
      <c r="I117" s="34"/>
      <c r="J117" s="46"/>
      <c r="K117" s="46"/>
    </row>
    <row r="118" spans="2:11" x14ac:dyDescent="0.3">
      <c r="B118" s="31">
        <v>4</v>
      </c>
      <c r="C118" s="23">
        <v>3</v>
      </c>
      <c r="D118" s="23">
        <v>5</v>
      </c>
      <c r="E118" s="23">
        <v>4</v>
      </c>
      <c r="F118" s="23">
        <v>3</v>
      </c>
      <c r="G118" s="23">
        <v>3</v>
      </c>
      <c r="H118" s="39">
        <f t="shared" si="0"/>
        <v>3.6</v>
      </c>
      <c r="I118" s="34"/>
      <c r="J118" s="34"/>
    </row>
    <row r="119" spans="2:11" x14ac:dyDescent="0.3">
      <c r="B119" s="31">
        <v>5</v>
      </c>
      <c r="C119" s="23">
        <v>5</v>
      </c>
      <c r="D119" s="23">
        <v>4</v>
      </c>
      <c r="E119" s="23">
        <v>5</v>
      </c>
      <c r="F119" s="23">
        <v>5</v>
      </c>
      <c r="G119" s="23">
        <v>3</v>
      </c>
      <c r="H119" s="39">
        <f t="shared" si="0"/>
        <v>4.4000000000000004</v>
      </c>
      <c r="I119" s="34"/>
      <c r="J119" s="34"/>
    </row>
    <row r="120" spans="2:11" x14ac:dyDescent="0.3">
      <c r="B120" s="31">
        <v>6</v>
      </c>
      <c r="C120" s="23">
        <v>3</v>
      </c>
      <c r="D120" s="23">
        <v>5</v>
      </c>
      <c r="E120" s="23">
        <v>3</v>
      </c>
      <c r="F120" s="23">
        <v>2</v>
      </c>
      <c r="G120" s="23">
        <v>3</v>
      </c>
      <c r="H120" s="39">
        <f t="shared" si="0"/>
        <v>3.2</v>
      </c>
      <c r="I120" s="34"/>
      <c r="J120" s="34"/>
    </row>
    <row r="121" spans="2:11" x14ac:dyDescent="0.3">
      <c r="B121" s="31">
        <v>7</v>
      </c>
      <c r="C121" s="23">
        <v>3</v>
      </c>
      <c r="D121" s="23">
        <v>5</v>
      </c>
      <c r="E121" s="23">
        <v>3</v>
      </c>
      <c r="F121" s="23">
        <v>2</v>
      </c>
      <c r="G121" s="23">
        <v>4</v>
      </c>
      <c r="H121" s="39">
        <f t="shared" si="0"/>
        <v>3.4</v>
      </c>
      <c r="I121" s="34"/>
      <c r="J121" s="34"/>
    </row>
    <row r="122" spans="2:11" x14ac:dyDescent="0.3">
      <c r="B122" s="31">
        <v>8</v>
      </c>
      <c r="C122" s="23">
        <v>3</v>
      </c>
      <c r="D122" s="23">
        <v>4</v>
      </c>
      <c r="E122" s="23">
        <v>4</v>
      </c>
      <c r="F122" s="23">
        <v>3</v>
      </c>
      <c r="G122" s="23">
        <v>4</v>
      </c>
      <c r="H122" s="39">
        <f t="shared" si="0"/>
        <v>3.6</v>
      </c>
      <c r="I122" s="34"/>
      <c r="J122" s="34"/>
    </row>
  </sheetData>
  <mergeCells count="26">
    <mergeCell ref="B1:E1"/>
    <mergeCell ref="C2:E2"/>
    <mergeCell ref="C3:E3"/>
    <mergeCell ref="C4:E4"/>
    <mergeCell ref="C5:E5"/>
    <mergeCell ref="C6:E6"/>
    <mergeCell ref="C7:E7"/>
    <mergeCell ref="B10:E10"/>
    <mergeCell ref="C11:E11"/>
    <mergeCell ref="C12:E12"/>
    <mergeCell ref="C13:E13"/>
    <mergeCell ref="C14:E14"/>
    <mergeCell ref="C15:E15"/>
    <mergeCell ref="C16:E16"/>
    <mergeCell ref="C17:E17"/>
    <mergeCell ref="B19:D19"/>
    <mergeCell ref="B29:C29"/>
    <mergeCell ref="B50:E50"/>
    <mergeCell ref="C51:E51"/>
    <mergeCell ref="C52:E52"/>
    <mergeCell ref="B112:H112"/>
    <mergeCell ref="C53:E53"/>
    <mergeCell ref="C54:E54"/>
    <mergeCell ref="B70:J70"/>
    <mergeCell ref="B95:J95"/>
    <mergeCell ref="B105:J105"/>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K120"/>
  <sheetViews>
    <sheetView topLeftCell="A104" zoomScale="94" zoomScaleNormal="94" workbookViewId="0">
      <selection activeCell="B1" sqref="B1:E1"/>
    </sheetView>
  </sheetViews>
  <sheetFormatPr defaultColWidth="8.88671875" defaultRowHeight="14.4" x14ac:dyDescent="0.3"/>
  <cols>
    <col min="1" max="16384" width="8.88671875" style="13"/>
  </cols>
  <sheetData>
    <row r="1" spans="2:5" ht="14.25" customHeight="1" x14ac:dyDescent="0.3">
      <c r="B1" s="62" t="s">
        <v>130</v>
      </c>
      <c r="C1" s="62"/>
      <c r="D1" s="62"/>
      <c r="E1" s="62"/>
    </row>
    <row r="2" spans="2:5" ht="27" customHeight="1" x14ac:dyDescent="0.3">
      <c r="B2" s="16" t="s">
        <v>131</v>
      </c>
      <c r="C2" s="68" t="s">
        <v>74</v>
      </c>
      <c r="D2" s="68"/>
      <c r="E2" s="68"/>
    </row>
    <row r="3" spans="2:5" ht="27" customHeight="1" x14ac:dyDescent="0.3">
      <c r="B3" s="16" t="s">
        <v>132</v>
      </c>
      <c r="C3" s="68" t="s">
        <v>1542</v>
      </c>
      <c r="D3" s="68"/>
      <c r="E3" s="68"/>
    </row>
    <row r="4" spans="2:5" ht="27" customHeight="1" x14ac:dyDescent="0.3">
      <c r="B4" s="16" t="s">
        <v>134</v>
      </c>
      <c r="C4" s="68" t="s">
        <v>1543</v>
      </c>
      <c r="D4" s="68"/>
      <c r="E4" s="68"/>
    </row>
    <row r="5" spans="2:5" ht="27" customHeight="1" x14ac:dyDescent="0.3">
      <c r="B5" s="16" t="s">
        <v>136</v>
      </c>
      <c r="C5" s="68" t="s">
        <v>1544</v>
      </c>
      <c r="D5" s="68"/>
      <c r="E5" s="68"/>
    </row>
    <row r="6" spans="2:5" ht="27" customHeight="1" x14ac:dyDescent="0.3">
      <c r="B6" s="16" t="s">
        <v>138</v>
      </c>
      <c r="C6" s="68" t="s">
        <v>139</v>
      </c>
      <c r="D6" s="68"/>
      <c r="E6" s="68"/>
    </row>
    <row r="7" spans="2:5" ht="68.7" customHeight="1" x14ac:dyDescent="0.3">
      <c r="B7" s="16" t="s">
        <v>140</v>
      </c>
      <c r="C7" s="68" t="s">
        <v>1545</v>
      </c>
      <c r="D7" s="68"/>
      <c r="E7" s="68"/>
    </row>
    <row r="8" spans="2:5" x14ac:dyDescent="0.3">
      <c r="B8" s="34"/>
      <c r="C8" s="57"/>
      <c r="D8" s="57"/>
      <c r="E8" s="57"/>
    </row>
    <row r="9" spans="2:5" ht="30.75" customHeight="1" x14ac:dyDescent="0.3">
      <c r="B9" s="17" t="s">
        <v>142</v>
      </c>
      <c r="C9" s="34"/>
      <c r="D9" s="34"/>
      <c r="E9" s="34"/>
    </row>
    <row r="10" spans="2:5" ht="14.25" customHeight="1" x14ac:dyDescent="0.3">
      <c r="B10" s="60" t="s">
        <v>143</v>
      </c>
      <c r="C10" s="60"/>
      <c r="D10" s="60"/>
      <c r="E10" s="60"/>
    </row>
    <row r="11" spans="2:5" ht="82.5" customHeight="1" x14ac:dyDescent="0.3">
      <c r="B11" s="31" t="s">
        <v>1546</v>
      </c>
      <c r="C11" s="63" t="s">
        <v>1547</v>
      </c>
      <c r="D11" s="63"/>
      <c r="E11" s="63"/>
    </row>
    <row r="12" spans="2:5" ht="54.75" customHeight="1" x14ac:dyDescent="0.3">
      <c r="B12" s="31" t="s">
        <v>1548</v>
      </c>
      <c r="C12" s="63" t="s">
        <v>1549</v>
      </c>
      <c r="D12" s="63"/>
      <c r="E12" s="63"/>
    </row>
    <row r="13" spans="2:5" ht="69" customHeight="1" x14ac:dyDescent="0.3">
      <c r="B13" s="31" t="s">
        <v>1550</v>
      </c>
      <c r="C13" s="63" t="s">
        <v>1551</v>
      </c>
      <c r="D13" s="63"/>
      <c r="E13" s="63"/>
    </row>
    <row r="14" spans="2:5" ht="96" customHeight="1" x14ac:dyDescent="0.3">
      <c r="B14" s="31" t="s">
        <v>1552</v>
      </c>
      <c r="C14" s="63" t="s">
        <v>1553</v>
      </c>
      <c r="D14" s="63"/>
      <c r="E14" s="63"/>
    </row>
    <row r="15" spans="2:5" ht="54.75" customHeight="1" x14ac:dyDescent="0.3">
      <c r="B15" s="31" t="s">
        <v>1554</v>
      </c>
      <c r="C15" s="63" t="s">
        <v>1555</v>
      </c>
      <c r="D15" s="63"/>
      <c r="E15" s="63"/>
    </row>
    <row r="16" spans="2:5" ht="69" customHeight="1" x14ac:dyDescent="0.3">
      <c r="B16" s="31" t="s">
        <v>1556</v>
      </c>
      <c r="C16" s="63" t="s">
        <v>1557</v>
      </c>
      <c r="D16" s="63"/>
      <c r="E16" s="63"/>
    </row>
    <row r="18" spans="2:5" ht="14.25" customHeight="1" x14ac:dyDescent="0.3">
      <c r="B18" s="60" t="s">
        <v>152</v>
      </c>
      <c r="C18" s="60"/>
      <c r="D18" s="60"/>
    </row>
    <row r="19" spans="2:5" x14ac:dyDescent="0.3">
      <c r="B19" s="22" t="s">
        <v>153</v>
      </c>
      <c r="C19" s="22" t="s">
        <v>154</v>
      </c>
      <c r="D19" s="22" t="s">
        <v>155</v>
      </c>
    </row>
    <row r="20" spans="2:5" ht="138" customHeight="1" x14ac:dyDescent="0.3">
      <c r="B20" s="41">
        <v>1</v>
      </c>
      <c r="C20" s="3" t="s">
        <v>1558</v>
      </c>
      <c r="D20" s="41" t="s">
        <v>1559</v>
      </c>
    </row>
    <row r="21" spans="2:5" ht="165" customHeight="1" x14ac:dyDescent="0.3">
      <c r="B21" s="41">
        <v>2</v>
      </c>
      <c r="C21" s="3" t="s">
        <v>1560</v>
      </c>
      <c r="D21" s="41" t="s">
        <v>1561</v>
      </c>
    </row>
    <row r="22" spans="2:5" ht="165" customHeight="1" x14ac:dyDescent="0.3">
      <c r="B22" s="41">
        <v>3</v>
      </c>
      <c r="C22" s="3" t="s">
        <v>1562</v>
      </c>
      <c r="D22" s="41" t="s">
        <v>1563</v>
      </c>
    </row>
    <row r="23" spans="2:5" ht="151.5" customHeight="1" x14ac:dyDescent="0.3">
      <c r="B23" s="41">
        <v>4</v>
      </c>
      <c r="C23" s="3" t="s">
        <v>1564</v>
      </c>
      <c r="D23" s="41" t="s">
        <v>1565</v>
      </c>
    </row>
    <row r="24" spans="2:5" ht="123.75" customHeight="1" x14ac:dyDescent="0.3">
      <c r="B24" s="41">
        <v>5</v>
      </c>
      <c r="C24" s="3" t="s">
        <v>1566</v>
      </c>
      <c r="D24" s="41" t="s">
        <v>1567</v>
      </c>
    </row>
    <row r="25" spans="2:5" ht="151.5" customHeight="1" x14ac:dyDescent="0.3">
      <c r="B25" s="41">
        <v>6</v>
      </c>
      <c r="C25" s="3" t="s">
        <v>1568</v>
      </c>
      <c r="D25" s="41" t="s">
        <v>1569</v>
      </c>
    </row>
    <row r="26" spans="2:5" ht="151.5" customHeight="1" x14ac:dyDescent="0.3">
      <c r="B26" s="41">
        <v>7</v>
      </c>
      <c r="C26" s="3" t="s">
        <v>1570</v>
      </c>
      <c r="D26" s="41" t="s">
        <v>1571</v>
      </c>
    </row>
    <row r="28" spans="2:5" ht="14.25" customHeight="1" x14ac:dyDescent="0.3">
      <c r="B28" s="60" t="s">
        <v>164</v>
      </c>
      <c r="C28" s="60"/>
      <c r="D28" s="18"/>
      <c r="E28" s="18"/>
    </row>
    <row r="29" spans="2:5" x14ac:dyDescent="0.3">
      <c r="B29" s="22" t="s">
        <v>165</v>
      </c>
      <c r="C29" s="22" t="s">
        <v>166</v>
      </c>
    </row>
    <row r="30" spans="2:5" ht="96" customHeight="1" x14ac:dyDescent="0.3">
      <c r="B30" s="44" t="s">
        <v>167</v>
      </c>
      <c r="C30" s="3" t="s">
        <v>1572</v>
      </c>
    </row>
    <row r="31" spans="2:5" ht="138" customHeight="1" x14ac:dyDescent="0.3">
      <c r="B31" s="44" t="s">
        <v>169</v>
      </c>
      <c r="C31" s="3" t="s">
        <v>1573</v>
      </c>
    </row>
    <row r="32" spans="2:5" ht="123.75" customHeight="1" x14ac:dyDescent="0.3">
      <c r="B32" s="44" t="s">
        <v>171</v>
      </c>
      <c r="C32" s="3" t="s">
        <v>1574</v>
      </c>
    </row>
    <row r="33" spans="2:5" ht="110.25" customHeight="1" x14ac:dyDescent="0.3">
      <c r="B33" s="44" t="s">
        <v>173</v>
      </c>
      <c r="C33" s="3" t="s">
        <v>1575</v>
      </c>
    </row>
    <row r="34" spans="2:5" ht="110.25" customHeight="1" x14ac:dyDescent="0.3">
      <c r="B34" s="44" t="s">
        <v>175</v>
      </c>
      <c r="C34" s="3" t="s">
        <v>1576</v>
      </c>
    </row>
    <row r="35" spans="2:5" ht="192.75" customHeight="1" x14ac:dyDescent="0.3">
      <c r="B35" s="44" t="s">
        <v>177</v>
      </c>
      <c r="C35" s="3" t="s">
        <v>1577</v>
      </c>
    </row>
    <row r="36" spans="2:5" ht="123.75" customHeight="1" x14ac:dyDescent="0.3">
      <c r="B36" s="44" t="s">
        <v>179</v>
      </c>
      <c r="C36" s="3" t="s">
        <v>1578</v>
      </c>
    </row>
    <row r="37" spans="2:5" ht="110.25" customHeight="1" x14ac:dyDescent="0.3">
      <c r="B37" s="44" t="s">
        <v>181</v>
      </c>
      <c r="C37" s="3" t="s">
        <v>1579</v>
      </c>
    </row>
    <row r="38" spans="2:5" ht="234" customHeight="1" x14ac:dyDescent="0.3">
      <c r="B38" s="44" t="s">
        <v>183</v>
      </c>
      <c r="C38" s="3" t="s">
        <v>1580</v>
      </c>
      <c r="D38" s="34"/>
      <c r="E38" s="34"/>
    </row>
    <row r="39" spans="2:5" ht="123.75" customHeight="1" x14ac:dyDescent="0.3">
      <c r="B39" s="31" t="s">
        <v>1581</v>
      </c>
      <c r="C39" s="3" t="s">
        <v>1582</v>
      </c>
    </row>
    <row r="40" spans="2:5" ht="41.25" customHeight="1" x14ac:dyDescent="0.3">
      <c r="B40" s="31" t="s">
        <v>1583</v>
      </c>
      <c r="C40" s="3" t="s">
        <v>1584</v>
      </c>
    </row>
    <row r="41" spans="2:5" ht="54.75" customHeight="1" x14ac:dyDescent="0.3">
      <c r="B41" s="31" t="s">
        <v>1585</v>
      </c>
      <c r="C41" s="3" t="s">
        <v>1586</v>
      </c>
    </row>
    <row r="42" spans="2:5" x14ac:dyDescent="0.3">
      <c r="B42" s="31" t="s">
        <v>1587</v>
      </c>
      <c r="C42" s="23" t="s">
        <v>1588</v>
      </c>
    </row>
    <row r="43" spans="2:5" ht="27" customHeight="1" x14ac:dyDescent="0.3">
      <c r="B43" s="31" t="s">
        <v>1589</v>
      </c>
      <c r="C43" s="23" t="s">
        <v>1590</v>
      </c>
    </row>
    <row r="44" spans="2:5" ht="110.25" customHeight="1" x14ac:dyDescent="0.3">
      <c r="B44" s="31" t="s">
        <v>1591</v>
      </c>
      <c r="C44" s="3" t="s">
        <v>1592</v>
      </c>
    </row>
    <row r="45" spans="2:5" ht="123.75" customHeight="1" x14ac:dyDescent="0.3">
      <c r="B45" s="31" t="s">
        <v>1593</v>
      </c>
      <c r="C45" s="3" t="s">
        <v>1594</v>
      </c>
    </row>
    <row r="46" spans="2:5" ht="96" customHeight="1" x14ac:dyDescent="0.3">
      <c r="B46" s="31" t="s">
        <v>1595</v>
      </c>
      <c r="C46" s="3" t="s">
        <v>1596</v>
      </c>
    </row>
    <row r="48" spans="2:5" ht="46.5" customHeight="1" x14ac:dyDescent="0.3">
      <c r="B48" s="17" t="s">
        <v>185</v>
      </c>
      <c r="C48" s="34"/>
      <c r="D48" s="34"/>
      <c r="E48" s="34"/>
    </row>
    <row r="49" spans="2:10" ht="14.25" customHeight="1" x14ac:dyDescent="0.3">
      <c r="B49" s="62" t="s">
        <v>186</v>
      </c>
      <c r="C49" s="62"/>
      <c r="D49" s="62"/>
      <c r="E49" s="62"/>
    </row>
    <row r="50" spans="2:10" ht="28.5" customHeight="1" x14ac:dyDescent="0.3">
      <c r="B50" s="35" t="s">
        <v>187</v>
      </c>
      <c r="C50" s="63" t="s">
        <v>1597</v>
      </c>
      <c r="D50" s="63"/>
      <c r="E50" s="63"/>
    </row>
    <row r="51" spans="2:10" ht="42.75" customHeight="1" x14ac:dyDescent="0.3">
      <c r="B51" s="35" t="s">
        <v>189</v>
      </c>
      <c r="C51" s="63" t="s">
        <v>1598</v>
      </c>
      <c r="D51" s="63"/>
      <c r="E51" s="63"/>
    </row>
    <row r="52" spans="2:10" ht="28.5" customHeight="1" x14ac:dyDescent="0.3">
      <c r="B52" s="35" t="s">
        <v>191</v>
      </c>
      <c r="C52" s="64" t="s">
        <v>1599</v>
      </c>
      <c r="D52" s="64"/>
      <c r="E52" s="64"/>
    </row>
    <row r="53" spans="2:10" ht="42.75" customHeight="1" x14ac:dyDescent="0.3">
      <c r="B53" s="35" t="s">
        <v>193</v>
      </c>
      <c r="C53" s="64" t="s">
        <v>1600</v>
      </c>
      <c r="D53" s="64"/>
      <c r="E53" s="64"/>
    </row>
    <row r="55" spans="2:10" ht="78" customHeight="1" x14ac:dyDescent="0.3">
      <c r="B55" s="17" t="s">
        <v>195</v>
      </c>
      <c r="C55" s="34"/>
      <c r="D55" s="34"/>
      <c r="E55" s="34"/>
      <c r="F55" s="34"/>
      <c r="G55" s="34"/>
      <c r="H55" s="34"/>
      <c r="I55" s="34"/>
      <c r="J55" s="34"/>
    </row>
    <row r="56" spans="2:10" ht="27" customHeight="1" x14ac:dyDescent="0.3">
      <c r="B56" s="26" t="s">
        <v>196</v>
      </c>
      <c r="C56" s="26" t="s">
        <v>197</v>
      </c>
      <c r="D56" s="26">
        <v>2</v>
      </c>
      <c r="E56" s="26">
        <v>3</v>
      </c>
      <c r="F56" s="26">
        <v>4</v>
      </c>
      <c r="G56" s="26">
        <v>5</v>
      </c>
      <c r="H56" s="26">
        <v>6</v>
      </c>
      <c r="I56" s="26">
        <v>7</v>
      </c>
      <c r="J56" s="26">
        <v>8</v>
      </c>
    </row>
    <row r="57" spans="2:10" ht="110.25" customHeight="1" x14ac:dyDescent="0.3">
      <c r="B57" s="27" t="s">
        <v>130</v>
      </c>
      <c r="C57" s="27" t="s">
        <v>1601</v>
      </c>
      <c r="D57" s="27" t="s">
        <v>1602</v>
      </c>
      <c r="E57" s="27" t="s">
        <v>1603</v>
      </c>
      <c r="F57" s="27" t="s">
        <v>1604</v>
      </c>
      <c r="G57" s="27" t="s">
        <v>1605</v>
      </c>
      <c r="H57" s="27" t="s">
        <v>1606</v>
      </c>
      <c r="I57" s="27" t="s">
        <v>1607</v>
      </c>
      <c r="J57" s="27" t="s">
        <v>1608</v>
      </c>
    </row>
    <row r="58" spans="2:10" ht="151.5" customHeight="1" x14ac:dyDescent="0.3">
      <c r="B58" s="16" t="s">
        <v>208</v>
      </c>
      <c r="C58" s="3" t="s">
        <v>1609</v>
      </c>
      <c r="D58" s="3" t="s">
        <v>1610</v>
      </c>
      <c r="E58" s="3" t="s">
        <v>1611</v>
      </c>
      <c r="F58" s="3" t="s">
        <v>1612</v>
      </c>
      <c r="G58" s="3" t="s">
        <v>1613</v>
      </c>
      <c r="H58" s="3" t="s">
        <v>1614</v>
      </c>
      <c r="I58" s="3" t="s">
        <v>1615</v>
      </c>
      <c r="J58" s="3" t="s">
        <v>1616</v>
      </c>
    </row>
    <row r="59" spans="2:10" ht="27" customHeight="1" x14ac:dyDescent="0.3">
      <c r="B59" s="16" t="s">
        <v>167</v>
      </c>
      <c r="C59" s="23" t="s">
        <v>219</v>
      </c>
      <c r="D59" s="23" t="s">
        <v>219</v>
      </c>
      <c r="E59" s="3" t="s">
        <v>1617</v>
      </c>
      <c r="F59" s="23" t="s">
        <v>1618</v>
      </c>
      <c r="G59" s="23" t="s">
        <v>277</v>
      </c>
      <c r="H59" s="3" t="s">
        <v>1619</v>
      </c>
      <c r="I59" s="23" t="s">
        <v>277</v>
      </c>
      <c r="J59" s="23" t="s">
        <v>277</v>
      </c>
    </row>
    <row r="60" spans="2:10" ht="27" customHeight="1" x14ac:dyDescent="0.3">
      <c r="B60" s="16" t="s">
        <v>169</v>
      </c>
      <c r="C60" s="23" t="s">
        <v>228</v>
      </c>
      <c r="D60" s="3" t="s">
        <v>1620</v>
      </c>
      <c r="E60" s="23" t="s">
        <v>1471</v>
      </c>
      <c r="F60" s="23" t="s">
        <v>278</v>
      </c>
      <c r="G60" s="23" t="s">
        <v>221</v>
      </c>
      <c r="H60" s="23" t="s">
        <v>1621</v>
      </c>
      <c r="I60" s="23" t="s">
        <v>221</v>
      </c>
      <c r="J60" s="23" t="s">
        <v>221</v>
      </c>
    </row>
    <row r="61" spans="2:10" ht="27" customHeight="1" x14ac:dyDescent="0.3">
      <c r="B61" s="16" t="s">
        <v>231</v>
      </c>
      <c r="C61" s="23" t="s">
        <v>232</v>
      </c>
      <c r="D61" s="23" t="s">
        <v>219</v>
      </c>
      <c r="E61" s="23" t="s">
        <v>223</v>
      </c>
      <c r="F61" s="23" t="s">
        <v>232</v>
      </c>
      <c r="G61" s="23" t="s">
        <v>232</v>
      </c>
      <c r="H61" s="23" t="s">
        <v>219</v>
      </c>
      <c r="I61" s="23" t="s">
        <v>232</v>
      </c>
      <c r="J61" s="23" t="s">
        <v>219</v>
      </c>
    </row>
    <row r="62" spans="2:10" ht="27" customHeight="1" x14ac:dyDescent="0.3">
      <c r="B62" s="16" t="s">
        <v>177</v>
      </c>
      <c r="C62" s="23" t="s">
        <v>228</v>
      </c>
      <c r="D62" s="23" t="s">
        <v>233</v>
      </c>
      <c r="E62" s="23" t="s">
        <v>1533</v>
      </c>
      <c r="F62" s="23" t="s">
        <v>1622</v>
      </c>
      <c r="G62" s="23" t="s">
        <v>233</v>
      </c>
      <c r="H62" s="23" t="s">
        <v>817</v>
      </c>
      <c r="I62" s="23" t="s">
        <v>817</v>
      </c>
      <c r="J62" s="23" t="s">
        <v>233</v>
      </c>
    </row>
    <row r="63" spans="2:10" x14ac:dyDescent="0.3">
      <c r="B63" s="16" t="s">
        <v>179</v>
      </c>
      <c r="C63" s="23" t="s">
        <v>228</v>
      </c>
      <c r="D63" s="23" t="s">
        <v>223</v>
      </c>
      <c r="E63" s="23" t="s">
        <v>802</v>
      </c>
      <c r="F63" s="23" t="s">
        <v>233</v>
      </c>
      <c r="G63" s="23" t="s">
        <v>223</v>
      </c>
      <c r="H63" s="23" t="s">
        <v>223</v>
      </c>
      <c r="I63" s="23" t="s">
        <v>223</v>
      </c>
      <c r="J63" s="23" t="s">
        <v>223</v>
      </c>
    </row>
    <row r="64" spans="2:10" ht="41.25" customHeight="1" x14ac:dyDescent="0.3">
      <c r="B64" s="16" t="s">
        <v>238</v>
      </c>
      <c r="C64" s="23" t="s">
        <v>228</v>
      </c>
      <c r="D64" s="23" t="s">
        <v>239</v>
      </c>
      <c r="E64" s="23" t="s">
        <v>1623</v>
      </c>
      <c r="F64" s="3" t="s">
        <v>1107</v>
      </c>
      <c r="G64" s="23" t="s">
        <v>239</v>
      </c>
      <c r="H64" s="23" t="s">
        <v>239</v>
      </c>
      <c r="I64" s="23" t="s">
        <v>239</v>
      </c>
      <c r="J64" s="23" t="s">
        <v>239</v>
      </c>
    </row>
    <row r="65" spans="2:10" ht="27" customHeight="1" x14ac:dyDescent="0.3">
      <c r="B65" s="16" t="s">
        <v>181</v>
      </c>
      <c r="C65" s="23" t="s">
        <v>232</v>
      </c>
      <c r="D65" s="23" t="s">
        <v>232</v>
      </c>
      <c r="E65" s="23" t="s">
        <v>232</v>
      </c>
      <c r="F65" s="23" t="s">
        <v>232</v>
      </c>
      <c r="G65" s="23" t="s">
        <v>232</v>
      </c>
      <c r="H65" s="23" t="s">
        <v>232</v>
      </c>
      <c r="I65" s="23" t="s">
        <v>232</v>
      </c>
      <c r="J65" s="23" t="s">
        <v>232</v>
      </c>
    </row>
    <row r="66" spans="2:10" ht="27" customHeight="1" x14ac:dyDescent="0.3">
      <c r="B66" s="16" t="s">
        <v>183</v>
      </c>
      <c r="C66" s="23" t="s">
        <v>228</v>
      </c>
      <c r="D66" s="23" t="s">
        <v>228</v>
      </c>
      <c r="E66" s="23" t="s">
        <v>966</v>
      </c>
      <c r="F66" s="23" t="s">
        <v>228</v>
      </c>
      <c r="G66" s="23" t="s">
        <v>228</v>
      </c>
      <c r="H66" s="23" t="s">
        <v>232</v>
      </c>
      <c r="I66" s="23" t="s">
        <v>228</v>
      </c>
      <c r="J66" s="23" t="s">
        <v>228</v>
      </c>
    </row>
    <row r="67" spans="2:10" ht="234" customHeight="1" x14ac:dyDescent="0.3">
      <c r="B67" s="16" t="s">
        <v>243</v>
      </c>
      <c r="C67" s="3" t="s">
        <v>1624</v>
      </c>
      <c r="D67" s="3" t="s">
        <v>1625</v>
      </c>
      <c r="E67" s="3" t="s">
        <v>1626</v>
      </c>
      <c r="F67" s="3" t="s">
        <v>1627</v>
      </c>
      <c r="G67" s="3" t="s">
        <v>1628</v>
      </c>
      <c r="H67" s="3" t="s">
        <v>1629</v>
      </c>
      <c r="I67" s="3" t="s">
        <v>1630</v>
      </c>
      <c r="J67" s="3" t="s">
        <v>1631</v>
      </c>
    </row>
    <row r="68" spans="2:10" x14ac:dyDescent="0.3">
      <c r="B68" s="18"/>
      <c r="C68" s="9"/>
      <c r="D68" s="9"/>
      <c r="E68" s="9"/>
      <c r="F68" s="9"/>
      <c r="G68" s="9"/>
      <c r="H68" s="9"/>
      <c r="I68" s="9"/>
      <c r="J68" s="9"/>
    </row>
    <row r="69" spans="2:10" ht="14.25" customHeight="1" x14ac:dyDescent="0.3">
      <c r="B69" s="60" t="s">
        <v>254</v>
      </c>
      <c r="C69" s="60"/>
      <c r="D69" s="60"/>
      <c r="E69" s="60"/>
      <c r="F69" s="60"/>
      <c r="G69" s="60"/>
      <c r="H69" s="60"/>
      <c r="I69" s="60"/>
      <c r="J69" s="60"/>
    </row>
    <row r="70" spans="2:10" ht="41.25" customHeight="1" x14ac:dyDescent="0.3">
      <c r="B70" s="22" t="s">
        <v>255</v>
      </c>
      <c r="C70" s="22" t="s">
        <v>167</v>
      </c>
      <c r="D70" s="22" t="s">
        <v>169</v>
      </c>
      <c r="E70" s="22" t="s">
        <v>171</v>
      </c>
      <c r="F70" s="22" t="s">
        <v>177</v>
      </c>
      <c r="G70" s="22" t="s">
        <v>179</v>
      </c>
      <c r="H70" s="22" t="s">
        <v>175</v>
      </c>
      <c r="I70" s="22" t="s">
        <v>181</v>
      </c>
      <c r="J70" s="22" t="s">
        <v>183</v>
      </c>
    </row>
    <row r="71" spans="2:10" x14ac:dyDescent="0.3">
      <c r="B71" s="31">
        <v>1</v>
      </c>
      <c r="C71" s="23" t="s">
        <v>219</v>
      </c>
      <c r="D71" s="23" t="s">
        <v>228</v>
      </c>
      <c r="E71" s="23" t="s">
        <v>232</v>
      </c>
      <c r="F71" s="23" t="s">
        <v>228</v>
      </c>
      <c r="G71" s="23" t="s">
        <v>228</v>
      </c>
      <c r="H71" s="23" t="s">
        <v>228</v>
      </c>
      <c r="I71" s="23" t="s">
        <v>232</v>
      </c>
      <c r="J71" s="44" t="s">
        <v>966</v>
      </c>
    </row>
    <row r="72" spans="2:10" x14ac:dyDescent="0.3">
      <c r="B72" s="31">
        <v>2</v>
      </c>
      <c r="C72" s="23" t="s">
        <v>219</v>
      </c>
      <c r="D72" s="23" t="s">
        <v>278</v>
      </c>
      <c r="E72" s="23" t="s">
        <v>219</v>
      </c>
      <c r="F72" s="23" t="s">
        <v>233</v>
      </c>
      <c r="G72" s="23" t="s">
        <v>223</v>
      </c>
      <c r="H72" s="23" t="s">
        <v>239</v>
      </c>
      <c r="I72" s="23" t="s">
        <v>232</v>
      </c>
      <c r="J72" s="44" t="s">
        <v>232</v>
      </c>
    </row>
    <row r="73" spans="2:10" ht="27" customHeight="1" x14ac:dyDescent="0.3">
      <c r="B73" s="31">
        <v>3</v>
      </c>
      <c r="C73" s="3" t="s">
        <v>1617</v>
      </c>
      <c r="D73" s="23" t="s">
        <v>1471</v>
      </c>
      <c r="E73" s="23" t="s">
        <v>223</v>
      </c>
      <c r="F73" s="23" t="s">
        <v>1533</v>
      </c>
      <c r="G73" s="23" t="s">
        <v>802</v>
      </c>
      <c r="H73" s="23" t="s">
        <v>965</v>
      </c>
      <c r="I73" s="23" t="s">
        <v>232</v>
      </c>
      <c r="J73" s="44" t="s">
        <v>966</v>
      </c>
    </row>
    <row r="74" spans="2:10" ht="27" customHeight="1" x14ac:dyDescent="0.3">
      <c r="B74" s="31">
        <v>4</v>
      </c>
      <c r="C74" s="23" t="s">
        <v>1618</v>
      </c>
      <c r="D74" s="23" t="s">
        <v>278</v>
      </c>
      <c r="E74" s="23" t="s">
        <v>232</v>
      </c>
      <c r="F74" s="23" t="s">
        <v>1622</v>
      </c>
      <c r="G74" s="23" t="s">
        <v>233</v>
      </c>
      <c r="H74" s="23" t="s">
        <v>219</v>
      </c>
      <c r="I74" s="23" t="s">
        <v>232</v>
      </c>
      <c r="J74" s="44" t="s">
        <v>228</v>
      </c>
    </row>
    <row r="75" spans="2:10" x14ac:dyDescent="0.3">
      <c r="B75" s="31">
        <v>5</v>
      </c>
      <c r="C75" s="23" t="s">
        <v>277</v>
      </c>
      <c r="D75" s="23" t="s">
        <v>221</v>
      </c>
      <c r="E75" s="23" t="s">
        <v>232</v>
      </c>
      <c r="F75" s="23" t="s">
        <v>233</v>
      </c>
      <c r="G75" s="23" t="s">
        <v>223</v>
      </c>
      <c r="H75" s="23" t="s">
        <v>239</v>
      </c>
      <c r="I75" s="23" t="s">
        <v>232</v>
      </c>
      <c r="J75" s="44" t="s">
        <v>228</v>
      </c>
    </row>
    <row r="76" spans="2:10" ht="27" customHeight="1" x14ac:dyDescent="0.3">
      <c r="B76" s="31">
        <v>6</v>
      </c>
      <c r="C76" s="23" t="s">
        <v>221</v>
      </c>
      <c r="D76" s="23" t="s">
        <v>229</v>
      </c>
      <c r="E76" s="23" t="s">
        <v>219</v>
      </c>
      <c r="F76" s="23" t="s">
        <v>817</v>
      </c>
      <c r="G76" s="23" t="s">
        <v>223</v>
      </c>
      <c r="H76" s="23" t="s">
        <v>239</v>
      </c>
      <c r="I76" s="23" t="s">
        <v>232</v>
      </c>
      <c r="J76" s="44" t="s">
        <v>232</v>
      </c>
    </row>
    <row r="77" spans="2:10" ht="27" customHeight="1" x14ac:dyDescent="0.3">
      <c r="B77" s="31">
        <v>7</v>
      </c>
      <c r="C77" s="23" t="s">
        <v>277</v>
      </c>
      <c r="D77" s="23" t="s">
        <v>221</v>
      </c>
      <c r="E77" s="23" t="s">
        <v>232</v>
      </c>
      <c r="F77" s="23" t="s">
        <v>817</v>
      </c>
      <c r="G77" s="23" t="s">
        <v>223</v>
      </c>
      <c r="H77" s="23" t="s">
        <v>239</v>
      </c>
      <c r="I77" s="23" t="s">
        <v>232</v>
      </c>
      <c r="J77" s="44" t="s">
        <v>228</v>
      </c>
    </row>
    <row r="78" spans="2:10" x14ac:dyDescent="0.3">
      <c r="B78" s="31">
        <v>8</v>
      </c>
      <c r="C78" s="23" t="s">
        <v>277</v>
      </c>
      <c r="D78" s="23" t="s">
        <v>221</v>
      </c>
      <c r="E78" s="23" t="s">
        <v>219</v>
      </c>
      <c r="F78" s="23" t="s">
        <v>233</v>
      </c>
      <c r="G78" s="23" t="s">
        <v>223</v>
      </c>
      <c r="H78" s="23" t="s">
        <v>239</v>
      </c>
      <c r="I78" s="23" t="s">
        <v>232</v>
      </c>
      <c r="J78" s="44" t="s">
        <v>228</v>
      </c>
    </row>
    <row r="80" spans="2:10" ht="62.25" customHeight="1" x14ac:dyDescent="0.3">
      <c r="B80" s="17" t="s">
        <v>264</v>
      </c>
      <c r="C80" s="34"/>
      <c r="D80" s="34"/>
      <c r="E80" s="34"/>
      <c r="F80" s="34"/>
      <c r="G80" s="34"/>
      <c r="H80" s="34"/>
      <c r="I80" s="34"/>
    </row>
    <row r="81" spans="2:10" ht="27" customHeight="1" x14ac:dyDescent="0.3">
      <c r="B81" s="26" t="s">
        <v>196</v>
      </c>
      <c r="C81" s="26" t="s">
        <v>1632</v>
      </c>
      <c r="D81" s="26">
        <v>10</v>
      </c>
      <c r="E81" s="26">
        <v>11</v>
      </c>
      <c r="F81" s="26">
        <v>12</v>
      </c>
      <c r="G81" s="26">
        <v>13</v>
      </c>
      <c r="H81" s="26">
        <v>14</v>
      </c>
      <c r="I81" s="26">
        <v>15</v>
      </c>
    </row>
    <row r="82" spans="2:10" ht="138" customHeight="1" x14ac:dyDescent="0.3">
      <c r="B82" s="27" t="s">
        <v>130</v>
      </c>
      <c r="C82" s="27" t="s">
        <v>1633</v>
      </c>
      <c r="D82" s="27" t="s">
        <v>1634</v>
      </c>
      <c r="E82" s="27" t="s">
        <v>1635</v>
      </c>
      <c r="F82" s="27" t="s">
        <v>1636</v>
      </c>
      <c r="G82" s="27" t="s">
        <v>1637</v>
      </c>
      <c r="H82" s="27" t="s">
        <v>1638</v>
      </c>
      <c r="I82" s="27" t="s">
        <v>1639</v>
      </c>
    </row>
    <row r="83" spans="2:10" ht="258.75" customHeight="1" x14ac:dyDescent="0.3">
      <c r="B83" s="16" t="s">
        <v>208</v>
      </c>
      <c r="C83" s="35" t="s">
        <v>1640</v>
      </c>
      <c r="D83" s="35" t="s">
        <v>1641</v>
      </c>
      <c r="E83" s="35" t="s">
        <v>1642</v>
      </c>
      <c r="F83" s="35" t="s">
        <v>1643</v>
      </c>
      <c r="G83" s="35" t="s">
        <v>1644</v>
      </c>
      <c r="H83" s="35" t="s">
        <v>1645</v>
      </c>
      <c r="I83" s="35" t="s">
        <v>1646</v>
      </c>
    </row>
    <row r="84" spans="2:10" x14ac:dyDescent="0.3">
      <c r="B84" s="16" t="s">
        <v>167</v>
      </c>
      <c r="C84" s="35" t="s">
        <v>221</v>
      </c>
      <c r="D84" s="25" t="s">
        <v>277</v>
      </c>
      <c r="E84" s="35" t="s">
        <v>223</v>
      </c>
      <c r="F84" s="35" t="s">
        <v>219</v>
      </c>
      <c r="G84" s="35" t="s">
        <v>223</v>
      </c>
      <c r="H84" s="35" t="s">
        <v>277</v>
      </c>
      <c r="I84" s="25" t="s">
        <v>221</v>
      </c>
    </row>
    <row r="85" spans="2:10" ht="27" customHeight="1" x14ac:dyDescent="0.3">
      <c r="B85" s="16" t="s">
        <v>169</v>
      </c>
      <c r="C85" s="35" t="s">
        <v>221</v>
      </c>
      <c r="D85" s="36" t="s">
        <v>221</v>
      </c>
      <c r="E85" s="35" t="s">
        <v>229</v>
      </c>
      <c r="F85" s="35" t="s">
        <v>221</v>
      </c>
      <c r="G85" s="25" t="s">
        <v>229</v>
      </c>
      <c r="H85" s="35" t="s">
        <v>221</v>
      </c>
      <c r="I85" s="35" t="s">
        <v>221</v>
      </c>
    </row>
    <row r="86" spans="2:10" ht="27" customHeight="1" x14ac:dyDescent="0.3">
      <c r="B86" s="16" t="s">
        <v>231</v>
      </c>
      <c r="C86" s="25" t="s">
        <v>232</v>
      </c>
      <c r="D86" s="35" t="s">
        <v>232</v>
      </c>
      <c r="E86" s="35" t="s">
        <v>232</v>
      </c>
      <c r="F86" s="35" t="s">
        <v>232</v>
      </c>
      <c r="G86" s="35" t="s">
        <v>232</v>
      </c>
      <c r="H86" s="35" t="s">
        <v>232</v>
      </c>
      <c r="I86" s="35" t="s">
        <v>232</v>
      </c>
    </row>
    <row r="87" spans="2:10" ht="42.75" customHeight="1" x14ac:dyDescent="0.3">
      <c r="B87" s="16" t="s">
        <v>177</v>
      </c>
      <c r="C87" s="25" t="s">
        <v>279</v>
      </c>
      <c r="D87" s="35" t="s">
        <v>233</v>
      </c>
      <c r="E87" s="35" t="s">
        <v>279</v>
      </c>
      <c r="F87" s="35" t="s">
        <v>233</v>
      </c>
      <c r="G87" s="35" t="s">
        <v>279</v>
      </c>
      <c r="H87" s="25" t="s">
        <v>279</v>
      </c>
      <c r="I87" s="35" t="s">
        <v>279</v>
      </c>
    </row>
    <row r="88" spans="2:10" x14ac:dyDescent="0.3">
      <c r="B88" s="16" t="s">
        <v>179</v>
      </c>
      <c r="C88" s="25" t="s">
        <v>223</v>
      </c>
      <c r="D88" s="35" t="s">
        <v>223</v>
      </c>
      <c r="E88" s="35" t="s">
        <v>223</v>
      </c>
      <c r="F88" s="35" t="s">
        <v>223</v>
      </c>
      <c r="G88" s="25" t="s">
        <v>223</v>
      </c>
      <c r="H88" s="35" t="s">
        <v>223</v>
      </c>
      <c r="I88" s="35" t="s">
        <v>223</v>
      </c>
    </row>
    <row r="89" spans="2:10" ht="41.25" customHeight="1" x14ac:dyDescent="0.3">
      <c r="B89" s="16" t="s">
        <v>238</v>
      </c>
      <c r="C89" s="25" t="s">
        <v>239</v>
      </c>
      <c r="D89" s="35" t="s">
        <v>239</v>
      </c>
      <c r="E89" s="35" t="s">
        <v>239</v>
      </c>
      <c r="F89" s="35" t="s">
        <v>239</v>
      </c>
      <c r="G89" s="25" t="s">
        <v>239</v>
      </c>
      <c r="H89" s="25" t="s">
        <v>239</v>
      </c>
      <c r="I89" s="35" t="s">
        <v>239</v>
      </c>
    </row>
    <row r="90" spans="2:10" ht="27" customHeight="1" x14ac:dyDescent="0.3">
      <c r="B90" s="16" t="s">
        <v>181</v>
      </c>
      <c r="C90" s="25" t="s">
        <v>232</v>
      </c>
      <c r="D90" s="35" t="s">
        <v>232</v>
      </c>
      <c r="E90" s="35" t="s">
        <v>232</v>
      </c>
      <c r="F90" s="35" t="s">
        <v>232</v>
      </c>
      <c r="G90" s="35" t="s">
        <v>232</v>
      </c>
      <c r="H90" s="35" t="s">
        <v>232</v>
      </c>
      <c r="I90" s="35" t="s">
        <v>232</v>
      </c>
    </row>
    <row r="91" spans="2:10" ht="27" customHeight="1" x14ac:dyDescent="0.3">
      <c r="B91" s="16" t="s">
        <v>183</v>
      </c>
      <c r="C91" s="25" t="s">
        <v>232</v>
      </c>
      <c r="D91" s="35" t="s">
        <v>232</v>
      </c>
      <c r="E91" s="35" t="s">
        <v>232</v>
      </c>
      <c r="F91" s="35" t="s">
        <v>232</v>
      </c>
      <c r="G91" s="25" t="s">
        <v>232</v>
      </c>
      <c r="H91" s="35" t="s">
        <v>232</v>
      </c>
      <c r="I91" s="25" t="s">
        <v>232</v>
      </c>
    </row>
    <row r="92" spans="2:10" ht="244.5" customHeight="1" x14ac:dyDescent="0.3">
      <c r="B92" s="16" t="s">
        <v>243</v>
      </c>
      <c r="C92" s="35" t="s">
        <v>1647</v>
      </c>
      <c r="D92" s="35" t="s">
        <v>1648</v>
      </c>
      <c r="E92" s="35" t="s">
        <v>1649</v>
      </c>
      <c r="F92" s="35" t="s">
        <v>1650</v>
      </c>
      <c r="G92" s="25" t="s">
        <v>1651</v>
      </c>
      <c r="H92" s="25" t="s">
        <v>1652</v>
      </c>
      <c r="I92" s="35" t="s">
        <v>1653</v>
      </c>
    </row>
    <row r="94" spans="2:10" ht="14.25" customHeight="1" x14ac:dyDescent="0.3">
      <c r="B94" s="60" t="s">
        <v>581</v>
      </c>
      <c r="C94" s="60"/>
      <c r="D94" s="60"/>
      <c r="E94" s="60"/>
      <c r="F94" s="60"/>
      <c r="G94" s="60"/>
      <c r="H94" s="60"/>
      <c r="I94" s="60"/>
      <c r="J94" s="60"/>
    </row>
    <row r="95" spans="2:10" ht="41.25" customHeight="1" x14ac:dyDescent="0.3">
      <c r="B95" s="22" t="s">
        <v>255</v>
      </c>
      <c r="C95" s="22" t="s">
        <v>167</v>
      </c>
      <c r="D95" s="22" t="s">
        <v>169</v>
      </c>
      <c r="E95" s="22" t="s">
        <v>171</v>
      </c>
      <c r="F95" s="22" t="s">
        <v>177</v>
      </c>
      <c r="G95" s="22" t="s">
        <v>179</v>
      </c>
      <c r="H95" s="22" t="s">
        <v>175</v>
      </c>
      <c r="I95" s="22" t="s">
        <v>181</v>
      </c>
      <c r="J95" s="22" t="s">
        <v>183</v>
      </c>
    </row>
    <row r="96" spans="2:10" ht="28.5" customHeight="1" x14ac:dyDescent="0.3">
      <c r="B96" s="44">
        <v>9</v>
      </c>
      <c r="C96" s="44" t="s">
        <v>221</v>
      </c>
      <c r="D96" s="44" t="s">
        <v>221</v>
      </c>
      <c r="E96" s="44" t="s">
        <v>232</v>
      </c>
      <c r="F96" s="44" t="s">
        <v>583</v>
      </c>
      <c r="G96" s="44" t="s">
        <v>223</v>
      </c>
      <c r="H96" s="44" t="s">
        <v>239</v>
      </c>
      <c r="I96" s="44" t="s">
        <v>232</v>
      </c>
      <c r="J96" s="44" t="s">
        <v>232</v>
      </c>
    </row>
    <row r="97" spans="2:11" ht="28.5" customHeight="1" x14ac:dyDescent="0.3">
      <c r="B97" s="44">
        <v>10</v>
      </c>
      <c r="C97" s="44" t="s">
        <v>277</v>
      </c>
      <c r="D97" s="44" t="s">
        <v>221</v>
      </c>
      <c r="E97" s="44" t="s">
        <v>232</v>
      </c>
      <c r="F97" s="44" t="s">
        <v>233</v>
      </c>
      <c r="G97" s="44" t="s">
        <v>223</v>
      </c>
      <c r="H97" s="44" t="s">
        <v>239</v>
      </c>
      <c r="I97" s="44" t="s">
        <v>232</v>
      </c>
      <c r="J97" s="44" t="s">
        <v>232</v>
      </c>
    </row>
    <row r="98" spans="2:11" ht="28.5" customHeight="1" x14ac:dyDescent="0.3">
      <c r="B98" s="44">
        <v>11</v>
      </c>
      <c r="C98" s="44" t="s">
        <v>223</v>
      </c>
      <c r="D98" s="44" t="s">
        <v>229</v>
      </c>
      <c r="E98" s="44" t="s">
        <v>232</v>
      </c>
      <c r="F98" s="44" t="s">
        <v>583</v>
      </c>
      <c r="G98" s="44" t="s">
        <v>223</v>
      </c>
      <c r="H98" s="44" t="s">
        <v>239</v>
      </c>
      <c r="I98" s="44" t="s">
        <v>232</v>
      </c>
      <c r="J98" s="44" t="s">
        <v>232</v>
      </c>
    </row>
    <row r="99" spans="2:11" ht="28.5" customHeight="1" x14ac:dyDescent="0.3">
      <c r="B99" s="44">
        <v>12</v>
      </c>
      <c r="C99" s="44" t="s">
        <v>219</v>
      </c>
      <c r="D99" s="44" t="s">
        <v>221</v>
      </c>
      <c r="E99" s="44" t="s">
        <v>232</v>
      </c>
      <c r="F99" s="44" t="s">
        <v>233</v>
      </c>
      <c r="G99" s="44" t="s">
        <v>223</v>
      </c>
      <c r="H99" s="44" t="s">
        <v>239</v>
      </c>
      <c r="I99" s="44" t="s">
        <v>232</v>
      </c>
      <c r="J99" s="44" t="s">
        <v>232</v>
      </c>
    </row>
    <row r="100" spans="2:11" ht="28.5" customHeight="1" x14ac:dyDescent="0.3">
      <c r="B100" s="44">
        <v>13</v>
      </c>
      <c r="C100" s="44" t="s">
        <v>223</v>
      </c>
      <c r="D100" s="44" t="s">
        <v>229</v>
      </c>
      <c r="E100" s="44" t="s">
        <v>232</v>
      </c>
      <c r="F100" s="44" t="s">
        <v>583</v>
      </c>
      <c r="G100" s="44" t="s">
        <v>223</v>
      </c>
      <c r="H100" s="44" t="s">
        <v>239</v>
      </c>
      <c r="I100" s="44" t="s">
        <v>232</v>
      </c>
      <c r="J100" s="44" t="s">
        <v>232</v>
      </c>
    </row>
    <row r="101" spans="2:11" ht="28.5" customHeight="1" x14ac:dyDescent="0.3">
      <c r="B101" s="44">
        <v>14</v>
      </c>
      <c r="C101" s="44" t="s">
        <v>277</v>
      </c>
      <c r="D101" s="44" t="s">
        <v>221</v>
      </c>
      <c r="E101" s="44" t="s">
        <v>232</v>
      </c>
      <c r="F101" s="44" t="s">
        <v>583</v>
      </c>
      <c r="G101" s="44" t="s">
        <v>223</v>
      </c>
      <c r="H101" s="44" t="s">
        <v>239</v>
      </c>
      <c r="I101" s="44" t="s">
        <v>232</v>
      </c>
      <c r="J101" s="44" t="s">
        <v>232</v>
      </c>
    </row>
    <row r="102" spans="2:11" ht="28.5" customHeight="1" x14ac:dyDescent="0.3">
      <c r="B102" s="44">
        <v>15</v>
      </c>
      <c r="C102" s="44" t="s">
        <v>221</v>
      </c>
      <c r="D102" s="44" t="s">
        <v>221</v>
      </c>
      <c r="E102" s="44" t="s">
        <v>232</v>
      </c>
      <c r="F102" s="44" t="s">
        <v>583</v>
      </c>
      <c r="G102" s="44" t="s">
        <v>223</v>
      </c>
      <c r="H102" s="44" t="s">
        <v>239</v>
      </c>
      <c r="I102" s="44" t="s">
        <v>232</v>
      </c>
      <c r="J102" s="44" t="s">
        <v>232</v>
      </c>
    </row>
    <row r="104" spans="2:11" ht="14.25" customHeight="1" x14ac:dyDescent="0.3">
      <c r="B104" s="60" t="s">
        <v>288</v>
      </c>
      <c r="C104" s="60"/>
      <c r="D104" s="60"/>
      <c r="E104" s="60"/>
      <c r="F104" s="60"/>
      <c r="G104" s="60"/>
      <c r="H104" s="60"/>
      <c r="I104" s="60"/>
      <c r="J104" s="60"/>
    </row>
    <row r="105" spans="2:11" ht="41.25" customHeight="1" x14ac:dyDescent="0.3">
      <c r="B105" s="22" t="s">
        <v>289</v>
      </c>
      <c r="C105" s="22" t="s">
        <v>1654</v>
      </c>
      <c r="D105" s="22" t="s">
        <v>1655</v>
      </c>
      <c r="E105" s="22" t="s">
        <v>1656</v>
      </c>
      <c r="F105" s="22" t="s">
        <v>1657</v>
      </c>
      <c r="G105" s="22" t="s">
        <v>1658</v>
      </c>
      <c r="H105" s="22" t="s">
        <v>1659</v>
      </c>
      <c r="I105" s="22" t="s">
        <v>1660</v>
      </c>
      <c r="J105" s="22" t="s">
        <v>1661</v>
      </c>
    </row>
    <row r="106" spans="2:11" ht="54.75" customHeight="1" x14ac:dyDescent="0.3">
      <c r="B106" s="31">
        <v>1</v>
      </c>
      <c r="C106" s="3" t="s">
        <v>1662</v>
      </c>
      <c r="D106" s="23" t="s">
        <v>1663</v>
      </c>
      <c r="E106" s="3" t="s">
        <v>1664</v>
      </c>
      <c r="F106" s="3" t="s">
        <v>1665</v>
      </c>
      <c r="G106" s="23" t="s">
        <v>1666</v>
      </c>
      <c r="H106" s="23" t="s">
        <v>1667</v>
      </c>
      <c r="I106" s="3" t="s">
        <v>1668</v>
      </c>
      <c r="J106" s="44" t="s">
        <v>219</v>
      </c>
    </row>
    <row r="107" spans="2:11" ht="54.75" customHeight="1" x14ac:dyDescent="0.3">
      <c r="B107" s="31">
        <v>2</v>
      </c>
      <c r="C107" s="3" t="s">
        <v>1669</v>
      </c>
      <c r="D107" s="23" t="s">
        <v>1663</v>
      </c>
      <c r="E107" s="3" t="s">
        <v>1670</v>
      </c>
      <c r="F107" s="23" t="s">
        <v>1671</v>
      </c>
      <c r="G107" s="23" t="s">
        <v>1672</v>
      </c>
      <c r="H107" s="23" t="s">
        <v>1673</v>
      </c>
      <c r="I107" s="3" t="s">
        <v>1674</v>
      </c>
      <c r="J107" s="44" t="s">
        <v>219</v>
      </c>
    </row>
    <row r="108" spans="2:11" ht="54.75" customHeight="1" x14ac:dyDescent="0.3">
      <c r="B108" s="31">
        <v>3</v>
      </c>
      <c r="C108" s="3" t="s">
        <v>1675</v>
      </c>
      <c r="D108" s="3" t="s">
        <v>1676</v>
      </c>
      <c r="E108" s="23" t="s">
        <v>588</v>
      </c>
      <c r="F108" s="23" t="s">
        <v>1177</v>
      </c>
      <c r="G108" s="23" t="s">
        <v>1177</v>
      </c>
      <c r="H108" s="23" t="s">
        <v>1677</v>
      </c>
      <c r="I108" s="3" t="s">
        <v>1678</v>
      </c>
      <c r="J108" s="35"/>
    </row>
    <row r="109" spans="2:11" x14ac:dyDescent="0.3">
      <c r="B109" s="34"/>
      <c r="C109" s="34"/>
      <c r="D109" s="34"/>
      <c r="E109" s="34"/>
      <c r="F109" s="34"/>
      <c r="G109" s="34"/>
      <c r="H109" s="34"/>
      <c r="I109" s="34"/>
      <c r="J109" s="34"/>
    </row>
    <row r="110" spans="2:11" ht="14.25" customHeight="1" x14ac:dyDescent="0.3">
      <c r="B110" s="61" t="s">
        <v>306</v>
      </c>
      <c r="C110" s="61"/>
      <c r="D110" s="61"/>
      <c r="E110" s="61"/>
      <c r="F110" s="61"/>
      <c r="G110" s="61"/>
      <c r="H110" s="61"/>
      <c r="I110" s="34"/>
      <c r="J110" s="34"/>
    </row>
    <row r="111" spans="2:11" ht="41.25" customHeight="1" x14ac:dyDescent="0.3">
      <c r="B111" s="27" t="s">
        <v>255</v>
      </c>
      <c r="C111" s="27" t="s">
        <v>167</v>
      </c>
      <c r="D111" s="27" t="s">
        <v>307</v>
      </c>
      <c r="E111" s="27" t="s">
        <v>308</v>
      </c>
      <c r="F111" s="27" t="s">
        <v>309</v>
      </c>
      <c r="G111" s="27" t="s">
        <v>181</v>
      </c>
      <c r="H111" s="27" t="s">
        <v>310</v>
      </c>
      <c r="I111" s="34"/>
      <c r="J111" s="46"/>
      <c r="K111" s="46"/>
    </row>
    <row r="112" spans="2:11" ht="27" customHeight="1" x14ac:dyDescent="0.3">
      <c r="B112" s="22" t="s">
        <v>255</v>
      </c>
      <c r="C112" s="22" t="s">
        <v>167</v>
      </c>
      <c r="D112" s="22" t="s">
        <v>311</v>
      </c>
      <c r="E112" s="22" t="s">
        <v>308</v>
      </c>
      <c r="F112" s="22" t="s">
        <v>312</v>
      </c>
      <c r="G112" s="22" t="s">
        <v>181</v>
      </c>
      <c r="H112" s="22" t="s">
        <v>313</v>
      </c>
      <c r="I112" s="34"/>
      <c r="J112" s="46"/>
      <c r="K112" s="46"/>
    </row>
    <row r="113" spans="2:11" x14ac:dyDescent="0.3">
      <c r="B113" s="31">
        <v>1</v>
      </c>
      <c r="C113" s="23">
        <v>3</v>
      </c>
      <c r="D113" s="23">
        <v>5</v>
      </c>
      <c r="E113" s="23">
        <v>4</v>
      </c>
      <c r="F113" s="23">
        <v>2</v>
      </c>
      <c r="G113" s="23">
        <v>4</v>
      </c>
      <c r="H113" s="39">
        <f t="shared" ref="H113:H120" si="0">AVERAGE(C113:G113)</f>
        <v>3.6</v>
      </c>
      <c r="I113" s="34"/>
      <c r="J113" s="46"/>
      <c r="K113" s="46"/>
    </row>
    <row r="114" spans="2:11" x14ac:dyDescent="0.3">
      <c r="B114" s="31">
        <v>2</v>
      </c>
      <c r="C114" s="23">
        <v>4</v>
      </c>
      <c r="D114" s="23">
        <v>5</v>
      </c>
      <c r="E114" s="23">
        <v>4</v>
      </c>
      <c r="F114" s="23">
        <v>3</v>
      </c>
      <c r="G114" s="23">
        <v>4</v>
      </c>
      <c r="H114" s="39">
        <f t="shared" si="0"/>
        <v>4</v>
      </c>
      <c r="I114" s="34"/>
      <c r="J114" s="46"/>
      <c r="K114" s="46"/>
    </row>
    <row r="115" spans="2:11" x14ac:dyDescent="0.3">
      <c r="B115" s="31">
        <v>3</v>
      </c>
      <c r="C115" s="23">
        <v>4</v>
      </c>
      <c r="D115" s="23">
        <v>5</v>
      </c>
      <c r="E115" s="23">
        <v>4</v>
      </c>
      <c r="F115" s="23">
        <v>4</v>
      </c>
      <c r="G115" s="23">
        <v>3</v>
      </c>
      <c r="H115" s="39">
        <f t="shared" si="0"/>
        <v>4</v>
      </c>
      <c r="I115" s="34"/>
      <c r="J115" s="46"/>
      <c r="K115" s="46"/>
    </row>
    <row r="116" spans="2:11" x14ac:dyDescent="0.3">
      <c r="B116" s="31">
        <v>4</v>
      </c>
      <c r="C116" s="23">
        <v>4</v>
      </c>
      <c r="D116" s="23">
        <v>4</v>
      </c>
      <c r="E116" s="23">
        <v>4</v>
      </c>
      <c r="F116" s="23">
        <v>4</v>
      </c>
      <c r="G116" s="23">
        <v>3</v>
      </c>
      <c r="H116" s="39">
        <f t="shared" si="0"/>
        <v>3.8</v>
      </c>
      <c r="I116" s="34"/>
      <c r="J116" s="34"/>
    </row>
    <row r="117" spans="2:11" x14ac:dyDescent="0.3">
      <c r="B117" s="31">
        <v>5</v>
      </c>
      <c r="C117" s="23">
        <v>5</v>
      </c>
      <c r="D117" s="23">
        <v>4</v>
      </c>
      <c r="E117" s="23">
        <v>5</v>
      </c>
      <c r="F117" s="23">
        <v>4</v>
      </c>
      <c r="G117" s="23">
        <v>3</v>
      </c>
      <c r="H117" s="39">
        <f t="shared" si="0"/>
        <v>4.2</v>
      </c>
      <c r="I117" s="34"/>
      <c r="J117" s="34"/>
    </row>
    <row r="118" spans="2:11" x14ac:dyDescent="0.3">
      <c r="B118" s="31">
        <v>6</v>
      </c>
      <c r="C118" s="23">
        <v>2</v>
      </c>
      <c r="D118" s="23">
        <v>3</v>
      </c>
      <c r="E118" s="23">
        <v>3</v>
      </c>
      <c r="F118" s="23">
        <v>3</v>
      </c>
      <c r="G118" s="23">
        <v>2</v>
      </c>
      <c r="H118" s="39">
        <f t="shared" si="0"/>
        <v>2.6</v>
      </c>
      <c r="I118" s="34"/>
      <c r="J118" s="34"/>
    </row>
    <row r="119" spans="2:11" x14ac:dyDescent="0.3">
      <c r="B119" s="31">
        <v>7</v>
      </c>
      <c r="C119" s="23">
        <v>2</v>
      </c>
      <c r="D119" s="23">
        <v>3</v>
      </c>
      <c r="E119" s="23">
        <v>3</v>
      </c>
      <c r="F119" s="23">
        <v>3</v>
      </c>
      <c r="G119" s="23">
        <v>2</v>
      </c>
      <c r="H119" s="39">
        <f t="shared" si="0"/>
        <v>2.6</v>
      </c>
      <c r="I119" s="34"/>
      <c r="J119" s="34"/>
    </row>
    <row r="120" spans="2:11" x14ac:dyDescent="0.3">
      <c r="B120" s="31">
        <v>8</v>
      </c>
      <c r="C120" s="23">
        <v>3</v>
      </c>
      <c r="D120" s="23">
        <v>1</v>
      </c>
      <c r="E120" s="23">
        <v>4</v>
      </c>
      <c r="F120" s="23">
        <v>5</v>
      </c>
      <c r="G120" s="23">
        <v>2</v>
      </c>
      <c r="H120" s="39">
        <f t="shared" si="0"/>
        <v>3</v>
      </c>
      <c r="I120" s="34"/>
      <c r="J120" s="34"/>
    </row>
  </sheetData>
  <mergeCells count="25">
    <mergeCell ref="B1:E1"/>
    <mergeCell ref="C2:E2"/>
    <mergeCell ref="C3:E3"/>
    <mergeCell ref="C4:E4"/>
    <mergeCell ref="C5:E5"/>
    <mergeCell ref="C6:E6"/>
    <mergeCell ref="C7:E7"/>
    <mergeCell ref="B10:E10"/>
    <mergeCell ref="C11:E11"/>
    <mergeCell ref="C12:E12"/>
    <mergeCell ref="C13:E13"/>
    <mergeCell ref="C14:E14"/>
    <mergeCell ref="C15:E15"/>
    <mergeCell ref="C16:E16"/>
    <mergeCell ref="B18:D18"/>
    <mergeCell ref="B28:C28"/>
    <mergeCell ref="B49:E49"/>
    <mergeCell ref="C50:E50"/>
    <mergeCell ref="C51:E51"/>
    <mergeCell ref="C52:E52"/>
    <mergeCell ref="C53:E53"/>
    <mergeCell ref="B69:J69"/>
    <mergeCell ref="B94:J94"/>
    <mergeCell ref="B104:J104"/>
    <mergeCell ref="B110:H110"/>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J110"/>
  <sheetViews>
    <sheetView topLeftCell="A80" zoomScale="75" zoomScaleNormal="72" workbookViewId="0">
      <selection activeCell="B103" sqref="B103:B110"/>
    </sheetView>
  </sheetViews>
  <sheetFormatPr defaultColWidth="8.5546875" defaultRowHeight="14.4" x14ac:dyDescent="0.3"/>
  <cols>
    <col min="1" max="1" width="4" customWidth="1"/>
    <col min="2" max="2" width="35" customWidth="1"/>
    <col min="3" max="3" width="50" customWidth="1"/>
    <col min="4" max="13" width="22" customWidth="1"/>
    <col min="14" max="16" width="18" customWidth="1"/>
  </cols>
  <sheetData>
    <row r="1" spans="2:4" x14ac:dyDescent="0.3">
      <c r="B1" s="62" t="s">
        <v>130</v>
      </c>
      <c r="C1" s="73"/>
      <c r="D1" s="74"/>
    </row>
    <row r="2" spans="2:4" x14ac:dyDescent="0.3">
      <c r="B2" s="72" t="s">
        <v>131</v>
      </c>
      <c r="C2" s="11" t="s">
        <v>81</v>
      </c>
    </row>
    <row r="3" spans="2:4" ht="27.6" x14ac:dyDescent="0.3">
      <c r="B3" s="72" t="s">
        <v>132</v>
      </c>
      <c r="C3" s="11" t="s">
        <v>1679</v>
      </c>
    </row>
    <row r="4" spans="2:4" x14ac:dyDescent="0.3">
      <c r="B4" s="72" t="s">
        <v>134</v>
      </c>
      <c r="C4" s="11" t="s">
        <v>82</v>
      </c>
    </row>
    <row r="5" spans="2:4" ht="69" x14ac:dyDescent="0.3">
      <c r="B5" s="72" t="s">
        <v>136</v>
      </c>
      <c r="C5" s="11" t="s">
        <v>1680</v>
      </c>
    </row>
    <row r="6" spans="2:4" x14ac:dyDescent="0.3">
      <c r="B6" s="72" t="s">
        <v>138</v>
      </c>
      <c r="C6" s="11" t="s">
        <v>139</v>
      </c>
    </row>
    <row r="7" spans="2:4" ht="82.8" x14ac:dyDescent="0.3">
      <c r="B7" s="72" t="s">
        <v>140</v>
      </c>
      <c r="C7" s="11" t="s">
        <v>1681</v>
      </c>
    </row>
    <row r="9" spans="2:4" x14ac:dyDescent="0.3">
      <c r="B9" s="58" t="s">
        <v>142</v>
      </c>
    </row>
    <row r="10" spans="2:4" x14ac:dyDescent="0.3">
      <c r="B10" s="76" t="s">
        <v>143</v>
      </c>
      <c r="C10" s="76"/>
    </row>
    <row r="11" spans="2:4" ht="82.8" x14ac:dyDescent="0.3">
      <c r="B11" s="72" t="s">
        <v>1682</v>
      </c>
      <c r="C11" s="11" t="s">
        <v>1683</v>
      </c>
    </row>
    <row r="12" spans="2:4" ht="82.8" x14ac:dyDescent="0.3">
      <c r="B12" s="72" t="s">
        <v>1684</v>
      </c>
      <c r="C12" s="11" t="s">
        <v>1685</v>
      </c>
    </row>
    <row r="13" spans="2:4" ht="55.2" x14ac:dyDescent="0.3">
      <c r="B13" s="72" t="s">
        <v>1686</v>
      </c>
      <c r="C13" s="11" t="s">
        <v>1687</v>
      </c>
    </row>
    <row r="14" spans="2:4" ht="69" x14ac:dyDescent="0.3">
      <c r="B14" s="72" t="s">
        <v>1688</v>
      </c>
      <c r="C14" s="11" t="s">
        <v>1689</v>
      </c>
    </row>
    <row r="15" spans="2:4" ht="55.2" x14ac:dyDescent="0.3">
      <c r="B15" s="72" t="s">
        <v>1690</v>
      </c>
      <c r="C15" s="11" t="s">
        <v>1691</v>
      </c>
    </row>
    <row r="17" spans="2:4" x14ac:dyDescent="0.3">
      <c r="B17" s="76" t="s">
        <v>152</v>
      </c>
      <c r="C17" s="76"/>
      <c r="D17" s="76"/>
    </row>
    <row r="18" spans="2:4" x14ac:dyDescent="0.3">
      <c r="B18" s="72" t="s">
        <v>153</v>
      </c>
      <c r="C18" s="72" t="s">
        <v>154</v>
      </c>
      <c r="D18" s="72" t="s">
        <v>155</v>
      </c>
    </row>
    <row r="19" spans="2:4" ht="27.6" x14ac:dyDescent="0.3">
      <c r="B19" s="11" t="s">
        <v>1692</v>
      </c>
      <c r="C19" s="11" t="s">
        <v>1693</v>
      </c>
      <c r="D19" s="11" t="s">
        <v>1694</v>
      </c>
    </row>
    <row r="20" spans="2:4" ht="27.6" x14ac:dyDescent="0.3">
      <c r="B20" s="11" t="s">
        <v>1695</v>
      </c>
      <c r="C20" s="11" t="s">
        <v>1696</v>
      </c>
      <c r="D20" s="11" t="s">
        <v>1697</v>
      </c>
    </row>
    <row r="21" spans="2:4" x14ac:dyDescent="0.3">
      <c r="B21" s="11" t="s">
        <v>1698</v>
      </c>
      <c r="C21" s="11" t="s">
        <v>1699</v>
      </c>
      <c r="D21" s="11" t="s">
        <v>1700</v>
      </c>
    </row>
    <row r="22" spans="2:4" ht="27.6" x14ac:dyDescent="0.3">
      <c r="B22" s="11" t="s">
        <v>1701</v>
      </c>
      <c r="C22" s="11" t="s">
        <v>1702</v>
      </c>
      <c r="D22" s="11" t="s">
        <v>1703</v>
      </c>
    </row>
    <row r="23" spans="2:4" ht="27.6" x14ac:dyDescent="0.3">
      <c r="B23" s="11" t="s">
        <v>1704</v>
      </c>
      <c r="C23" s="11" t="s">
        <v>1705</v>
      </c>
      <c r="D23" s="11" t="s">
        <v>1706</v>
      </c>
    </row>
    <row r="24" spans="2:4" ht="27.6" x14ac:dyDescent="0.3">
      <c r="B24" s="11" t="s">
        <v>1707</v>
      </c>
      <c r="C24" s="11" t="s">
        <v>1708</v>
      </c>
      <c r="D24" s="11" t="s">
        <v>1709</v>
      </c>
    </row>
    <row r="26" spans="2:4" x14ac:dyDescent="0.3">
      <c r="B26" s="76" t="s">
        <v>164</v>
      </c>
      <c r="C26" s="76"/>
    </row>
    <row r="27" spans="2:4" x14ac:dyDescent="0.3">
      <c r="B27" s="72" t="s">
        <v>165</v>
      </c>
      <c r="C27" s="72" t="s">
        <v>166</v>
      </c>
    </row>
    <row r="28" spans="2:4" ht="55.2" x14ac:dyDescent="0.3">
      <c r="B28" s="72" t="s">
        <v>167</v>
      </c>
      <c r="C28" s="11" t="s">
        <v>1710</v>
      </c>
    </row>
    <row r="29" spans="2:4" ht="41.4" x14ac:dyDescent="0.3">
      <c r="B29" s="72" t="s">
        <v>169</v>
      </c>
      <c r="C29" s="11" t="s">
        <v>1711</v>
      </c>
    </row>
    <row r="30" spans="2:4" ht="41.4" x14ac:dyDescent="0.3">
      <c r="B30" s="72" t="s">
        <v>171</v>
      </c>
      <c r="C30" s="11" t="s">
        <v>1712</v>
      </c>
    </row>
    <row r="31" spans="2:4" ht="55.2" x14ac:dyDescent="0.3">
      <c r="B31" s="72" t="s">
        <v>173</v>
      </c>
      <c r="C31" s="11" t="s">
        <v>1713</v>
      </c>
    </row>
    <row r="32" spans="2:4" ht="41.4" x14ac:dyDescent="0.3">
      <c r="B32" s="72" t="s">
        <v>175</v>
      </c>
      <c r="C32" s="11" t="s">
        <v>1714</v>
      </c>
    </row>
    <row r="33" spans="2:10" ht="69" x14ac:dyDescent="0.3">
      <c r="B33" s="72" t="s">
        <v>177</v>
      </c>
      <c r="C33" s="11" t="s">
        <v>1715</v>
      </c>
    </row>
    <row r="34" spans="2:10" ht="41.4" x14ac:dyDescent="0.3">
      <c r="B34" s="72" t="s">
        <v>179</v>
      </c>
      <c r="C34" s="11" t="s">
        <v>1716</v>
      </c>
    </row>
    <row r="35" spans="2:10" ht="55.2" x14ac:dyDescent="0.3">
      <c r="B35" s="72" t="s">
        <v>181</v>
      </c>
      <c r="C35" s="11" t="s">
        <v>1717</v>
      </c>
    </row>
    <row r="36" spans="2:10" ht="27.6" x14ac:dyDescent="0.3">
      <c r="B36" s="72" t="s">
        <v>183</v>
      </c>
      <c r="C36" s="11" t="s">
        <v>1718</v>
      </c>
    </row>
    <row r="38" spans="2:10" x14ac:dyDescent="0.3">
      <c r="B38" s="58" t="s">
        <v>185</v>
      </c>
    </row>
    <row r="39" spans="2:10" x14ac:dyDescent="0.3">
      <c r="B39" s="76" t="s">
        <v>186</v>
      </c>
      <c r="C39" s="76"/>
    </row>
    <row r="40" spans="2:10" ht="69" x14ac:dyDescent="0.3">
      <c r="B40" s="72" t="s">
        <v>1719</v>
      </c>
      <c r="C40" s="11" t="s">
        <v>1720</v>
      </c>
    </row>
    <row r="41" spans="2:10" ht="82.8" x14ac:dyDescent="0.3">
      <c r="B41" s="72" t="s">
        <v>1721</v>
      </c>
      <c r="C41" s="11" t="s">
        <v>1722</v>
      </c>
    </row>
    <row r="42" spans="2:10" ht="96.6" x14ac:dyDescent="0.3">
      <c r="B42" s="72" t="s">
        <v>1723</v>
      </c>
      <c r="C42" s="11" t="s">
        <v>1724</v>
      </c>
    </row>
    <row r="43" spans="2:10" ht="82.8" x14ac:dyDescent="0.3">
      <c r="B43" s="72" t="s">
        <v>758</v>
      </c>
      <c r="C43" s="11" t="s">
        <v>1725</v>
      </c>
    </row>
    <row r="44" spans="2:10" ht="82.8" x14ac:dyDescent="0.3">
      <c r="B44" s="72" t="s">
        <v>390</v>
      </c>
      <c r="C44" s="11" t="s">
        <v>1726</v>
      </c>
    </row>
    <row r="46" spans="2:10" x14ac:dyDescent="0.3">
      <c r="B46" s="58" t="s">
        <v>195</v>
      </c>
    </row>
    <row r="47" spans="2:10" x14ac:dyDescent="0.3">
      <c r="B47" s="77" t="s">
        <v>196</v>
      </c>
      <c r="C47" s="77" t="s">
        <v>1692</v>
      </c>
      <c r="D47" s="77" t="s">
        <v>1695</v>
      </c>
      <c r="E47" s="77" t="s">
        <v>1698</v>
      </c>
      <c r="F47" s="77" t="s">
        <v>1701</v>
      </c>
      <c r="G47" s="77" t="s">
        <v>1704</v>
      </c>
      <c r="H47" s="77" t="s">
        <v>1707</v>
      </c>
      <c r="I47" s="77" t="s">
        <v>1727</v>
      </c>
      <c r="J47" s="77" t="s">
        <v>1728</v>
      </c>
    </row>
    <row r="48" spans="2:10" ht="41.4" x14ac:dyDescent="0.3">
      <c r="B48" s="77" t="s">
        <v>130</v>
      </c>
      <c r="C48" s="78" t="s">
        <v>1729</v>
      </c>
      <c r="D48" s="78" t="s">
        <v>1730</v>
      </c>
      <c r="E48" s="78" t="s">
        <v>1731</v>
      </c>
      <c r="F48" s="78" t="s">
        <v>1732</v>
      </c>
      <c r="G48" s="78" t="s">
        <v>1733</v>
      </c>
      <c r="H48" s="78" t="s">
        <v>1734</v>
      </c>
      <c r="I48" s="78" t="s">
        <v>1735</v>
      </c>
      <c r="J48" s="78" t="s">
        <v>1736</v>
      </c>
    </row>
    <row r="49" spans="2:10" ht="110.4" x14ac:dyDescent="0.3">
      <c r="B49" s="72" t="s">
        <v>208</v>
      </c>
      <c r="C49" s="11" t="s">
        <v>1737</v>
      </c>
      <c r="D49" s="11" t="s">
        <v>1738</v>
      </c>
      <c r="E49" s="11" t="s">
        <v>1739</v>
      </c>
      <c r="F49" s="11" t="s">
        <v>1740</v>
      </c>
      <c r="G49" s="11" t="s">
        <v>1741</v>
      </c>
      <c r="H49" s="11" t="s">
        <v>1742</v>
      </c>
      <c r="I49" s="11" t="s">
        <v>1743</v>
      </c>
      <c r="J49" s="11" t="s">
        <v>1744</v>
      </c>
    </row>
    <row r="50" spans="2:10" ht="27.6" x14ac:dyDescent="0.3">
      <c r="B50" s="72" t="s">
        <v>167</v>
      </c>
      <c r="C50" s="11" t="s">
        <v>1745</v>
      </c>
      <c r="D50" s="11" t="s">
        <v>1746</v>
      </c>
      <c r="E50" s="11" t="s">
        <v>1747</v>
      </c>
      <c r="F50" s="11" t="s">
        <v>1748</v>
      </c>
      <c r="G50" s="11" t="s">
        <v>1749</v>
      </c>
      <c r="H50" s="11" t="s">
        <v>221</v>
      </c>
      <c r="I50" s="11" t="s">
        <v>1750</v>
      </c>
      <c r="J50" s="11" t="s">
        <v>221</v>
      </c>
    </row>
    <row r="51" spans="2:10" x14ac:dyDescent="0.3">
      <c r="B51" s="72" t="s">
        <v>169</v>
      </c>
      <c r="C51" s="11" t="s">
        <v>1471</v>
      </c>
      <c r="D51" s="11" t="s">
        <v>1471</v>
      </c>
      <c r="E51" s="11" t="s">
        <v>1751</v>
      </c>
      <c r="F51" s="11" t="s">
        <v>221</v>
      </c>
      <c r="G51" s="11" t="s">
        <v>1752</v>
      </c>
      <c r="H51" s="11" t="s">
        <v>221</v>
      </c>
      <c r="I51" s="11" t="s">
        <v>955</v>
      </c>
      <c r="J51" s="11" t="s">
        <v>221</v>
      </c>
    </row>
    <row r="52" spans="2:10" x14ac:dyDescent="0.3">
      <c r="B52" s="72" t="s">
        <v>231</v>
      </c>
      <c r="C52" s="11" t="s">
        <v>1753</v>
      </c>
      <c r="D52" s="11" t="s">
        <v>232</v>
      </c>
      <c r="E52" s="11" t="s">
        <v>1754</v>
      </c>
      <c r="F52" s="11" t="s">
        <v>232</v>
      </c>
      <c r="G52" s="11" t="s">
        <v>232</v>
      </c>
      <c r="H52" s="11" t="s">
        <v>232</v>
      </c>
      <c r="I52" s="11" t="s">
        <v>232</v>
      </c>
      <c r="J52" s="11" t="s">
        <v>232</v>
      </c>
    </row>
    <row r="53" spans="2:10" ht="27.6" x14ac:dyDescent="0.3">
      <c r="B53" s="72" t="s">
        <v>177</v>
      </c>
      <c r="C53" s="11" t="s">
        <v>1755</v>
      </c>
      <c r="D53" s="11" t="s">
        <v>1756</v>
      </c>
      <c r="E53" s="11" t="s">
        <v>233</v>
      </c>
      <c r="F53" s="11" t="s">
        <v>233</v>
      </c>
      <c r="G53" s="11" t="s">
        <v>279</v>
      </c>
      <c r="H53" s="11" t="s">
        <v>233</v>
      </c>
      <c r="I53" s="11" t="s">
        <v>1757</v>
      </c>
      <c r="J53" s="11" t="s">
        <v>233</v>
      </c>
    </row>
    <row r="54" spans="2:10" x14ac:dyDescent="0.3">
      <c r="B54" s="72" t="s">
        <v>179</v>
      </c>
      <c r="C54" s="11" t="s">
        <v>1758</v>
      </c>
      <c r="D54" s="11" t="s">
        <v>228</v>
      </c>
      <c r="E54" s="11" t="s">
        <v>236</v>
      </c>
      <c r="F54" s="11" t="s">
        <v>236</v>
      </c>
      <c r="G54" s="11" t="s">
        <v>236</v>
      </c>
      <c r="H54" s="11" t="s">
        <v>236</v>
      </c>
      <c r="I54" s="11" t="s">
        <v>223</v>
      </c>
      <c r="J54" s="11" t="s">
        <v>223</v>
      </c>
    </row>
    <row r="55" spans="2:10" x14ac:dyDescent="0.3">
      <c r="B55" s="72" t="s">
        <v>238</v>
      </c>
      <c r="C55" s="11" t="s">
        <v>1759</v>
      </c>
      <c r="D55" s="11" t="s">
        <v>1760</v>
      </c>
      <c r="E55" s="11" t="s">
        <v>1761</v>
      </c>
      <c r="F55" s="11" t="s">
        <v>225</v>
      </c>
      <c r="G55" s="11" t="s">
        <v>239</v>
      </c>
      <c r="H55" s="11" t="s">
        <v>225</v>
      </c>
      <c r="I55" s="11" t="s">
        <v>239</v>
      </c>
      <c r="J55" s="11" t="s">
        <v>225</v>
      </c>
    </row>
    <row r="56" spans="2:10" x14ac:dyDescent="0.3">
      <c r="B56" s="72" t="s">
        <v>181</v>
      </c>
      <c r="C56" s="11" t="s">
        <v>1762</v>
      </c>
      <c r="D56" s="11" t="s">
        <v>450</v>
      </c>
      <c r="E56" s="11" t="s">
        <v>232</v>
      </c>
      <c r="F56" s="11" t="s">
        <v>450</v>
      </c>
      <c r="G56" s="11" t="s">
        <v>232</v>
      </c>
      <c r="H56" s="11" t="s">
        <v>232</v>
      </c>
      <c r="I56" s="11" t="s">
        <v>1763</v>
      </c>
      <c r="J56" s="11" t="s">
        <v>450</v>
      </c>
    </row>
    <row r="57" spans="2:10" x14ac:dyDescent="0.3">
      <c r="B57" s="72" t="s">
        <v>183</v>
      </c>
      <c r="C57" s="11" t="s">
        <v>219</v>
      </c>
      <c r="D57" s="11" t="s">
        <v>232</v>
      </c>
      <c r="E57" s="11" t="s">
        <v>232</v>
      </c>
      <c r="F57" s="11" t="s">
        <v>232</v>
      </c>
      <c r="G57" s="11" t="s">
        <v>232</v>
      </c>
      <c r="H57" s="11" t="s">
        <v>232</v>
      </c>
      <c r="I57" s="11" t="s">
        <v>450</v>
      </c>
      <c r="J57" s="11" t="s">
        <v>232</v>
      </c>
    </row>
    <row r="58" spans="2:10" ht="82.8" x14ac:dyDescent="0.3">
      <c r="B58" s="72" t="s">
        <v>243</v>
      </c>
      <c r="C58" s="11" t="s">
        <v>1764</v>
      </c>
      <c r="D58" s="11" t="s">
        <v>1765</v>
      </c>
      <c r="E58" s="11" t="s">
        <v>1766</v>
      </c>
      <c r="F58" s="11" t="s">
        <v>1767</v>
      </c>
      <c r="G58" s="11" t="s">
        <v>1768</v>
      </c>
      <c r="H58" s="11" t="s">
        <v>1769</v>
      </c>
      <c r="I58" s="11" t="s">
        <v>1770</v>
      </c>
      <c r="J58" s="11" t="s">
        <v>1771</v>
      </c>
    </row>
    <row r="60" spans="2:10" ht="27.6" customHeight="1" x14ac:dyDescent="0.3">
      <c r="B60" s="76" t="s">
        <v>254</v>
      </c>
      <c r="C60" s="76"/>
      <c r="D60" s="76"/>
      <c r="E60" s="76"/>
      <c r="F60" s="76"/>
      <c r="G60" s="76"/>
      <c r="H60" s="76"/>
      <c r="I60" s="76"/>
      <c r="J60" s="76"/>
    </row>
    <row r="61" spans="2:10" x14ac:dyDescent="0.3">
      <c r="B61" s="72" t="s">
        <v>255</v>
      </c>
      <c r="C61" s="72" t="s">
        <v>167</v>
      </c>
      <c r="D61" s="72" t="s">
        <v>169</v>
      </c>
      <c r="E61" s="72" t="s">
        <v>171</v>
      </c>
      <c r="F61" s="72" t="s">
        <v>177</v>
      </c>
      <c r="G61" s="72" t="s">
        <v>179</v>
      </c>
      <c r="H61" s="72" t="s">
        <v>175</v>
      </c>
      <c r="I61" s="72" t="s">
        <v>181</v>
      </c>
      <c r="J61" s="72" t="s">
        <v>183</v>
      </c>
    </row>
    <row r="62" spans="2:10" x14ac:dyDescent="0.3">
      <c r="B62" s="11" t="s">
        <v>1692</v>
      </c>
      <c r="C62" s="11" t="s">
        <v>224</v>
      </c>
      <c r="D62" s="11" t="s">
        <v>1471</v>
      </c>
      <c r="E62" s="11" t="s">
        <v>223</v>
      </c>
      <c r="F62" s="11" t="s">
        <v>1755</v>
      </c>
      <c r="G62" s="11" t="s">
        <v>228</v>
      </c>
      <c r="H62" s="11" t="s">
        <v>240</v>
      </c>
      <c r="I62" s="11" t="s">
        <v>1762</v>
      </c>
      <c r="J62" s="11" t="s">
        <v>219</v>
      </c>
    </row>
    <row r="63" spans="2:10" x14ac:dyDescent="0.3">
      <c r="B63" s="11" t="s">
        <v>1695</v>
      </c>
      <c r="C63" s="11" t="s">
        <v>224</v>
      </c>
      <c r="D63" s="11" t="s">
        <v>1471</v>
      </c>
      <c r="E63" s="11" t="s">
        <v>232</v>
      </c>
      <c r="F63" s="11" t="s">
        <v>233</v>
      </c>
      <c r="G63" s="11" t="s">
        <v>228</v>
      </c>
      <c r="H63" s="11" t="s">
        <v>239</v>
      </c>
      <c r="I63" s="11" t="s">
        <v>450</v>
      </c>
      <c r="J63" s="11" t="s">
        <v>232</v>
      </c>
    </row>
    <row r="64" spans="2:10" x14ac:dyDescent="0.3">
      <c r="B64" s="11" t="s">
        <v>1698</v>
      </c>
      <c r="C64" s="11" t="s">
        <v>221</v>
      </c>
      <c r="D64" s="11" t="s">
        <v>1751</v>
      </c>
      <c r="E64" s="11" t="s">
        <v>221</v>
      </c>
      <c r="F64" s="11" t="s">
        <v>233</v>
      </c>
      <c r="G64" s="11" t="s">
        <v>236</v>
      </c>
      <c r="H64" s="11" t="s">
        <v>1761</v>
      </c>
      <c r="I64" s="11" t="s">
        <v>232</v>
      </c>
      <c r="J64" s="11" t="s">
        <v>232</v>
      </c>
    </row>
    <row r="65" spans="2:10" x14ac:dyDescent="0.3">
      <c r="B65" s="11" t="s">
        <v>1701</v>
      </c>
      <c r="C65" s="11" t="s">
        <v>221</v>
      </c>
      <c r="D65" s="11" t="s">
        <v>221</v>
      </c>
      <c r="E65" s="11" t="s">
        <v>232</v>
      </c>
      <c r="F65" s="11" t="s">
        <v>233</v>
      </c>
      <c r="G65" s="11" t="s">
        <v>236</v>
      </c>
      <c r="H65" s="11" t="s">
        <v>225</v>
      </c>
      <c r="I65" s="11" t="s">
        <v>450</v>
      </c>
      <c r="J65" s="11" t="s">
        <v>232</v>
      </c>
    </row>
    <row r="66" spans="2:10" x14ac:dyDescent="0.3">
      <c r="B66" s="11" t="s">
        <v>1704</v>
      </c>
      <c r="C66" s="11" t="s">
        <v>223</v>
      </c>
      <c r="D66" s="11" t="s">
        <v>229</v>
      </c>
      <c r="E66" s="11" t="s">
        <v>232</v>
      </c>
      <c r="F66" s="11" t="s">
        <v>583</v>
      </c>
      <c r="G66" s="11" t="s">
        <v>236</v>
      </c>
      <c r="H66" s="11" t="s">
        <v>239</v>
      </c>
      <c r="I66" s="11" t="s">
        <v>232</v>
      </c>
      <c r="J66" s="11" t="s">
        <v>232</v>
      </c>
    </row>
    <row r="67" spans="2:10" x14ac:dyDescent="0.3">
      <c r="B67" s="11" t="s">
        <v>1707</v>
      </c>
      <c r="C67" s="11" t="s">
        <v>221</v>
      </c>
      <c r="D67" s="11" t="s">
        <v>221</v>
      </c>
      <c r="E67" s="11" t="s">
        <v>232</v>
      </c>
      <c r="F67" s="11" t="s">
        <v>233</v>
      </c>
      <c r="G67" s="11" t="s">
        <v>236</v>
      </c>
      <c r="H67" s="11" t="s">
        <v>225</v>
      </c>
      <c r="I67" s="11" t="s">
        <v>232</v>
      </c>
      <c r="J67" s="11" t="s">
        <v>232</v>
      </c>
    </row>
    <row r="68" spans="2:10" x14ac:dyDescent="0.3">
      <c r="B68" s="11" t="s">
        <v>1727</v>
      </c>
      <c r="C68" s="11" t="s">
        <v>277</v>
      </c>
      <c r="D68" s="11" t="s">
        <v>955</v>
      </c>
      <c r="E68" s="11" t="s">
        <v>232</v>
      </c>
      <c r="F68" s="11" t="s">
        <v>1772</v>
      </c>
      <c r="G68" s="11" t="s">
        <v>223</v>
      </c>
      <c r="H68" s="11" t="s">
        <v>239</v>
      </c>
      <c r="I68" s="11" t="s">
        <v>1763</v>
      </c>
      <c r="J68" s="11" t="s">
        <v>450</v>
      </c>
    </row>
    <row r="69" spans="2:10" x14ac:dyDescent="0.3">
      <c r="B69" s="11" t="s">
        <v>1728</v>
      </c>
      <c r="C69" s="11" t="s">
        <v>221</v>
      </c>
      <c r="D69" s="11" t="s">
        <v>221</v>
      </c>
      <c r="E69" s="11" t="s">
        <v>232</v>
      </c>
      <c r="F69" s="11" t="s">
        <v>233</v>
      </c>
      <c r="G69" s="11" t="s">
        <v>223</v>
      </c>
      <c r="H69" s="11" t="s">
        <v>225</v>
      </c>
      <c r="I69" s="11" t="s">
        <v>450</v>
      </c>
      <c r="J69" s="11" t="s">
        <v>232</v>
      </c>
    </row>
    <row r="71" spans="2:10" x14ac:dyDescent="0.3">
      <c r="B71" s="58" t="s">
        <v>264</v>
      </c>
    </row>
    <row r="72" spans="2:10" x14ac:dyDescent="0.3">
      <c r="B72" s="77" t="s">
        <v>196</v>
      </c>
      <c r="C72" s="77" t="s">
        <v>1773</v>
      </c>
      <c r="D72" s="77" t="s">
        <v>1774</v>
      </c>
      <c r="E72" s="77" t="s">
        <v>1775</v>
      </c>
      <c r="F72" s="77" t="s">
        <v>1776</v>
      </c>
      <c r="G72" s="77" t="s">
        <v>1777</v>
      </c>
      <c r="H72" s="77" t="s">
        <v>1778</v>
      </c>
    </row>
    <row r="73" spans="2:10" ht="41.4" x14ac:dyDescent="0.3">
      <c r="B73" s="77" t="s">
        <v>130</v>
      </c>
      <c r="C73" s="78" t="s">
        <v>1779</v>
      </c>
      <c r="D73" s="78" t="s">
        <v>1780</v>
      </c>
      <c r="E73" s="78" t="s">
        <v>1781</v>
      </c>
      <c r="F73" s="78" t="s">
        <v>1782</v>
      </c>
      <c r="G73" s="78" t="s">
        <v>1783</v>
      </c>
      <c r="H73" s="78" t="s">
        <v>1784</v>
      </c>
    </row>
    <row r="74" spans="2:10" ht="138" x14ac:dyDescent="0.3">
      <c r="B74" s="72" t="s">
        <v>208</v>
      </c>
      <c r="C74" s="11" t="s">
        <v>1785</v>
      </c>
      <c r="D74" s="11" t="s">
        <v>1786</v>
      </c>
      <c r="E74" s="11" t="s">
        <v>1787</v>
      </c>
      <c r="F74" s="11" t="s">
        <v>1788</v>
      </c>
      <c r="G74" s="11" t="s">
        <v>1789</v>
      </c>
      <c r="H74" s="11" t="s">
        <v>1790</v>
      </c>
    </row>
    <row r="75" spans="2:10" x14ac:dyDescent="0.3">
      <c r="B75" s="72" t="s">
        <v>167</v>
      </c>
      <c r="C75" s="11" t="s">
        <v>277</v>
      </c>
      <c r="D75" s="11" t="s">
        <v>219</v>
      </c>
      <c r="E75" s="11" t="s">
        <v>221</v>
      </c>
      <c r="F75" s="11" t="s">
        <v>223</v>
      </c>
      <c r="G75" s="11" t="s">
        <v>277</v>
      </c>
      <c r="H75" s="11" t="s">
        <v>1791</v>
      </c>
    </row>
    <row r="76" spans="2:10" x14ac:dyDescent="0.3">
      <c r="B76" s="72" t="s">
        <v>169</v>
      </c>
      <c r="C76" s="11" t="s">
        <v>955</v>
      </c>
      <c r="D76" s="11" t="s">
        <v>1792</v>
      </c>
      <c r="E76" s="11" t="s">
        <v>221</v>
      </c>
      <c r="F76" s="11" t="s">
        <v>229</v>
      </c>
      <c r="G76" s="11" t="s">
        <v>278</v>
      </c>
      <c r="H76" s="11" t="s">
        <v>229</v>
      </c>
    </row>
    <row r="77" spans="2:10" ht="27.6" x14ac:dyDescent="0.3">
      <c r="B77" s="72" t="s">
        <v>231</v>
      </c>
      <c r="C77" s="11" t="s">
        <v>232</v>
      </c>
      <c r="D77" s="11" t="s">
        <v>1754</v>
      </c>
      <c r="E77" s="11" t="s">
        <v>232</v>
      </c>
      <c r="F77" s="11" t="s">
        <v>232</v>
      </c>
      <c r="G77" s="11" t="s">
        <v>232</v>
      </c>
      <c r="H77" s="11" t="s">
        <v>1793</v>
      </c>
    </row>
    <row r="78" spans="2:10" x14ac:dyDescent="0.3">
      <c r="B78" s="72" t="s">
        <v>177</v>
      </c>
      <c r="C78" s="11" t="s">
        <v>1794</v>
      </c>
      <c r="D78" s="11" t="s">
        <v>233</v>
      </c>
      <c r="E78" s="11" t="s">
        <v>233</v>
      </c>
      <c r="F78" s="11" t="s">
        <v>279</v>
      </c>
      <c r="G78" s="11" t="s">
        <v>233</v>
      </c>
      <c r="H78" s="11" t="s">
        <v>279</v>
      </c>
    </row>
    <row r="79" spans="2:10" x14ac:dyDescent="0.3">
      <c r="B79" s="72" t="s">
        <v>179</v>
      </c>
      <c r="C79" s="11" t="s">
        <v>223</v>
      </c>
      <c r="D79" s="11" t="s">
        <v>236</v>
      </c>
      <c r="E79" s="11" t="s">
        <v>223</v>
      </c>
      <c r="F79" s="11" t="s">
        <v>236</v>
      </c>
      <c r="G79" s="11" t="s">
        <v>236</v>
      </c>
      <c r="H79" s="11" t="s">
        <v>236</v>
      </c>
    </row>
    <row r="80" spans="2:10" x14ac:dyDescent="0.3">
      <c r="B80" s="72" t="s">
        <v>238</v>
      </c>
      <c r="C80" s="11" t="s">
        <v>239</v>
      </c>
      <c r="D80" s="11" t="s">
        <v>225</v>
      </c>
      <c r="E80" s="11" t="s">
        <v>225</v>
      </c>
      <c r="F80" s="11" t="s">
        <v>239</v>
      </c>
      <c r="G80" s="11" t="s">
        <v>225</v>
      </c>
      <c r="H80" s="11" t="s">
        <v>239</v>
      </c>
    </row>
    <row r="81" spans="2:10" x14ac:dyDescent="0.3">
      <c r="B81" s="72" t="s">
        <v>181</v>
      </c>
      <c r="C81" s="11" t="s">
        <v>1763</v>
      </c>
      <c r="D81" s="11" t="s">
        <v>232</v>
      </c>
      <c r="E81" s="11" t="s">
        <v>450</v>
      </c>
      <c r="F81" s="11" t="s">
        <v>232</v>
      </c>
      <c r="G81" s="11" t="s">
        <v>232</v>
      </c>
      <c r="H81" s="11" t="s">
        <v>232</v>
      </c>
    </row>
    <row r="82" spans="2:10" x14ac:dyDescent="0.3">
      <c r="B82" s="72" t="s">
        <v>183</v>
      </c>
      <c r="C82" s="11" t="s">
        <v>450</v>
      </c>
      <c r="D82" s="11" t="s">
        <v>232</v>
      </c>
      <c r="E82" s="11" t="s">
        <v>232</v>
      </c>
      <c r="F82" s="11" t="s">
        <v>232</v>
      </c>
      <c r="G82" s="11" t="s">
        <v>232</v>
      </c>
      <c r="H82" s="11" t="s">
        <v>232</v>
      </c>
    </row>
    <row r="83" spans="2:10" ht="110.4" x14ac:dyDescent="0.3">
      <c r="B83" s="72" t="s">
        <v>243</v>
      </c>
      <c r="C83" s="11" t="s">
        <v>1795</v>
      </c>
      <c r="D83" s="11" t="s">
        <v>1796</v>
      </c>
      <c r="E83" s="11" t="s">
        <v>1797</v>
      </c>
      <c r="F83" s="11" t="s">
        <v>1798</v>
      </c>
      <c r="G83" s="11" t="s">
        <v>1799</v>
      </c>
      <c r="H83" s="11" t="s">
        <v>1800</v>
      </c>
    </row>
    <row r="85" spans="2:10" x14ac:dyDescent="0.3">
      <c r="B85" s="76" t="s">
        <v>287</v>
      </c>
      <c r="C85" s="76"/>
      <c r="D85" s="76"/>
      <c r="E85" s="76"/>
      <c r="F85" s="76"/>
      <c r="G85" s="76"/>
      <c r="H85" s="76"/>
      <c r="I85" s="76"/>
      <c r="J85" s="76"/>
    </row>
    <row r="86" spans="2:10" x14ac:dyDescent="0.3">
      <c r="B86" s="72" t="s">
        <v>255</v>
      </c>
      <c r="C86" s="72" t="s">
        <v>167</v>
      </c>
      <c r="D86" s="72" t="s">
        <v>169</v>
      </c>
      <c r="E86" s="72" t="s">
        <v>171</v>
      </c>
      <c r="F86" s="72" t="s">
        <v>177</v>
      </c>
      <c r="G86" s="72" t="s">
        <v>179</v>
      </c>
      <c r="H86" s="72" t="s">
        <v>175</v>
      </c>
      <c r="I86" s="72" t="s">
        <v>181</v>
      </c>
      <c r="J86" s="72" t="s">
        <v>183</v>
      </c>
    </row>
    <row r="87" spans="2:10" x14ac:dyDescent="0.3">
      <c r="B87" s="11" t="s">
        <v>1773</v>
      </c>
      <c r="C87" s="11" t="s">
        <v>277</v>
      </c>
      <c r="D87" s="11" t="s">
        <v>955</v>
      </c>
      <c r="E87" s="11" t="s">
        <v>232</v>
      </c>
      <c r="F87" s="11" t="s">
        <v>1772</v>
      </c>
      <c r="G87" s="11" t="s">
        <v>223</v>
      </c>
      <c r="H87" s="11" t="s">
        <v>239</v>
      </c>
      <c r="I87" s="11" t="s">
        <v>1763</v>
      </c>
      <c r="J87" s="11" t="s">
        <v>450</v>
      </c>
    </row>
    <row r="88" spans="2:10" x14ac:dyDescent="0.3">
      <c r="B88" s="11" t="s">
        <v>1774</v>
      </c>
      <c r="C88" s="11" t="s">
        <v>219</v>
      </c>
      <c r="D88" s="11" t="s">
        <v>278</v>
      </c>
      <c r="E88" s="11" t="s">
        <v>221</v>
      </c>
      <c r="F88" s="11" t="s">
        <v>233</v>
      </c>
      <c r="G88" s="11" t="s">
        <v>236</v>
      </c>
      <c r="H88" s="11" t="s">
        <v>225</v>
      </c>
      <c r="I88" s="11" t="s">
        <v>232</v>
      </c>
      <c r="J88" s="11" t="s">
        <v>232</v>
      </c>
    </row>
    <row r="89" spans="2:10" x14ac:dyDescent="0.3">
      <c r="B89" s="11" t="s">
        <v>1775</v>
      </c>
      <c r="C89" s="11" t="s">
        <v>221</v>
      </c>
      <c r="D89" s="11" t="s">
        <v>221</v>
      </c>
      <c r="E89" s="11" t="s">
        <v>232</v>
      </c>
      <c r="F89" s="11" t="s">
        <v>233</v>
      </c>
      <c r="G89" s="11" t="s">
        <v>223</v>
      </c>
      <c r="H89" s="11" t="s">
        <v>225</v>
      </c>
      <c r="I89" s="11" t="s">
        <v>450</v>
      </c>
      <c r="J89" s="11" t="s">
        <v>232</v>
      </c>
    </row>
    <row r="90" spans="2:10" x14ac:dyDescent="0.3">
      <c r="B90" s="11" t="s">
        <v>1776</v>
      </c>
      <c r="C90" s="11" t="s">
        <v>223</v>
      </c>
      <c r="D90" s="11" t="s">
        <v>229</v>
      </c>
      <c r="E90" s="11" t="s">
        <v>232</v>
      </c>
      <c r="F90" s="11" t="s">
        <v>583</v>
      </c>
      <c r="G90" s="11" t="s">
        <v>236</v>
      </c>
      <c r="H90" s="11" t="s">
        <v>239</v>
      </c>
      <c r="I90" s="11" t="s">
        <v>232</v>
      </c>
      <c r="J90" s="11" t="s">
        <v>232</v>
      </c>
    </row>
    <row r="91" spans="2:10" x14ac:dyDescent="0.3">
      <c r="B91" s="11" t="s">
        <v>1777</v>
      </c>
      <c r="C91" s="11" t="s">
        <v>277</v>
      </c>
      <c r="D91" s="11" t="s">
        <v>278</v>
      </c>
      <c r="E91" s="11" t="s">
        <v>232</v>
      </c>
      <c r="F91" s="11" t="s">
        <v>233</v>
      </c>
      <c r="G91" s="11" t="s">
        <v>236</v>
      </c>
      <c r="H91" s="11" t="s">
        <v>225</v>
      </c>
      <c r="I91" s="11" t="s">
        <v>232</v>
      </c>
      <c r="J91" s="11" t="s">
        <v>232</v>
      </c>
    </row>
    <row r="92" spans="2:10" x14ac:dyDescent="0.3">
      <c r="B92" s="11" t="s">
        <v>1778</v>
      </c>
      <c r="C92" s="11" t="s">
        <v>223</v>
      </c>
      <c r="D92" s="11" t="s">
        <v>229</v>
      </c>
      <c r="E92" s="11" t="s">
        <v>223</v>
      </c>
      <c r="F92" s="11" t="s">
        <v>583</v>
      </c>
      <c r="G92" s="11" t="s">
        <v>236</v>
      </c>
      <c r="H92" s="11" t="s">
        <v>239</v>
      </c>
      <c r="I92" s="11" t="s">
        <v>232</v>
      </c>
      <c r="J92" s="11" t="s">
        <v>232</v>
      </c>
    </row>
    <row r="94" spans="2:10" x14ac:dyDescent="0.3">
      <c r="B94" s="76" t="s">
        <v>288</v>
      </c>
      <c r="C94" s="76"/>
      <c r="D94" s="76"/>
      <c r="E94" s="76"/>
      <c r="F94" s="76"/>
      <c r="G94" s="76"/>
      <c r="H94" s="76"/>
      <c r="I94" s="76"/>
      <c r="J94" s="76"/>
    </row>
    <row r="95" spans="2:10" x14ac:dyDescent="0.3">
      <c r="B95" s="72" t="s">
        <v>289</v>
      </c>
      <c r="C95" s="72" t="s">
        <v>167</v>
      </c>
      <c r="D95" s="72" t="s">
        <v>169</v>
      </c>
      <c r="E95" s="72" t="s">
        <v>171</v>
      </c>
      <c r="F95" s="72" t="s">
        <v>177</v>
      </c>
      <c r="G95" s="72" t="s">
        <v>179</v>
      </c>
      <c r="H95" s="72" t="s">
        <v>175</v>
      </c>
      <c r="I95" s="72" t="s">
        <v>181</v>
      </c>
      <c r="J95" s="72" t="s">
        <v>183</v>
      </c>
    </row>
    <row r="96" spans="2:10" x14ac:dyDescent="0.3">
      <c r="B96" s="11" t="s">
        <v>1692</v>
      </c>
      <c r="C96" s="11" t="s">
        <v>1801</v>
      </c>
      <c r="D96" s="11" t="s">
        <v>1802</v>
      </c>
      <c r="E96" s="11" t="s">
        <v>1803</v>
      </c>
      <c r="F96" s="11" t="s">
        <v>292</v>
      </c>
      <c r="G96" s="11" t="s">
        <v>223</v>
      </c>
      <c r="H96" s="11" t="s">
        <v>223</v>
      </c>
      <c r="I96" s="11" t="s">
        <v>1804</v>
      </c>
      <c r="J96" s="11" t="s">
        <v>219</v>
      </c>
    </row>
    <row r="97" spans="2:10" x14ac:dyDescent="0.3">
      <c r="B97" s="11" t="s">
        <v>1695</v>
      </c>
      <c r="C97" s="11" t="s">
        <v>1805</v>
      </c>
      <c r="D97" s="11" t="s">
        <v>1806</v>
      </c>
      <c r="E97" s="11" t="s">
        <v>1753</v>
      </c>
      <c r="F97" s="11" t="s">
        <v>297</v>
      </c>
      <c r="G97" s="11" t="s">
        <v>228</v>
      </c>
      <c r="H97" s="11" t="s">
        <v>240</v>
      </c>
      <c r="I97" s="11" t="s">
        <v>1762</v>
      </c>
      <c r="J97" s="11" t="s">
        <v>219</v>
      </c>
    </row>
    <row r="98" spans="2:10" x14ac:dyDescent="0.3">
      <c r="B98" s="11" t="s">
        <v>1698</v>
      </c>
      <c r="C98" s="11" t="s">
        <v>1807</v>
      </c>
      <c r="D98" s="11" t="s">
        <v>1808</v>
      </c>
      <c r="E98" s="11" t="s">
        <v>1809</v>
      </c>
      <c r="F98" s="11" t="s">
        <v>1810</v>
      </c>
      <c r="G98" s="11" t="s">
        <v>228</v>
      </c>
      <c r="H98" s="11" t="s">
        <v>240</v>
      </c>
      <c r="I98" s="11" t="s">
        <v>1762</v>
      </c>
      <c r="J98" s="11" t="s">
        <v>219</v>
      </c>
    </row>
    <row r="99" spans="2:10" x14ac:dyDescent="0.3">
      <c r="B99" s="11" t="s">
        <v>1701</v>
      </c>
      <c r="C99" s="11" t="s">
        <v>1811</v>
      </c>
      <c r="D99" s="11" t="s">
        <v>1812</v>
      </c>
      <c r="E99" s="11" t="s">
        <v>233</v>
      </c>
      <c r="F99" s="11" t="s">
        <v>583</v>
      </c>
      <c r="G99" s="11" t="s">
        <v>223</v>
      </c>
      <c r="H99" s="11" t="s">
        <v>223</v>
      </c>
      <c r="I99" s="11" t="s">
        <v>225</v>
      </c>
      <c r="J99" s="11" t="s">
        <v>232</v>
      </c>
    </row>
    <row r="101" spans="2:10" x14ac:dyDescent="0.3">
      <c r="B101" s="76" t="s">
        <v>306</v>
      </c>
      <c r="C101" s="76"/>
      <c r="D101" s="76"/>
      <c r="E101" s="76"/>
      <c r="F101" s="76"/>
      <c r="G101" s="76"/>
      <c r="H101" s="76"/>
    </row>
    <row r="102" spans="2:10" x14ac:dyDescent="0.3">
      <c r="B102" s="77" t="s">
        <v>255</v>
      </c>
      <c r="C102" s="77" t="s">
        <v>167</v>
      </c>
      <c r="D102" s="77" t="s">
        <v>307</v>
      </c>
      <c r="E102" s="77" t="s">
        <v>308</v>
      </c>
      <c r="F102" s="77" t="s">
        <v>309</v>
      </c>
      <c r="G102" s="77" t="s">
        <v>181</v>
      </c>
      <c r="H102" s="77" t="s">
        <v>310</v>
      </c>
    </row>
    <row r="103" spans="2:10" x14ac:dyDescent="0.3">
      <c r="B103" s="11">
        <v>1</v>
      </c>
      <c r="C103" s="11">
        <v>4</v>
      </c>
      <c r="D103" s="11">
        <v>4</v>
      </c>
      <c r="E103" s="11">
        <v>4</v>
      </c>
      <c r="F103" s="11">
        <v>5</v>
      </c>
      <c r="G103" s="11">
        <v>4</v>
      </c>
      <c r="H103" s="80">
        <f t="shared" ref="H103:H110" si="0">AVERAGE(C103:G103)</f>
        <v>4.2</v>
      </c>
    </row>
    <row r="104" spans="2:10" x14ac:dyDescent="0.3">
      <c r="B104" s="11">
        <v>2</v>
      </c>
      <c r="C104" s="11">
        <v>5</v>
      </c>
      <c r="D104" s="11">
        <v>3</v>
      </c>
      <c r="E104" s="11">
        <v>5</v>
      </c>
      <c r="F104" s="11">
        <v>5</v>
      </c>
      <c r="G104" s="11">
        <v>3</v>
      </c>
      <c r="H104" s="80">
        <f t="shared" si="0"/>
        <v>4.2</v>
      </c>
    </row>
    <row r="105" spans="2:10" x14ac:dyDescent="0.3">
      <c r="B105" s="11">
        <v>3</v>
      </c>
      <c r="C105" s="11">
        <v>5</v>
      </c>
      <c r="D105" s="11">
        <v>4</v>
      </c>
      <c r="E105" s="11">
        <v>5</v>
      </c>
      <c r="F105" s="11">
        <v>5</v>
      </c>
      <c r="G105" s="11">
        <v>4</v>
      </c>
      <c r="H105" s="80">
        <f t="shared" si="0"/>
        <v>4.5999999999999996</v>
      </c>
    </row>
    <row r="106" spans="2:10" x14ac:dyDescent="0.3">
      <c r="B106" s="11">
        <v>4</v>
      </c>
      <c r="C106" s="11">
        <v>4</v>
      </c>
      <c r="D106" s="11">
        <v>4</v>
      </c>
      <c r="E106" s="11">
        <v>4</v>
      </c>
      <c r="F106" s="11">
        <v>4</v>
      </c>
      <c r="G106" s="11">
        <v>4</v>
      </c>
      <c r="H106" s="80">
        <f t="shared" si="0"/>
        <v>4</v>
      </c>
    </row>
    <row r="107" spans="2:10" x14ac:dyDescent="0.3">
      <c r="B107" s="11">
        <v>5</v>
      </c>
      <c r="C107" s="11">
        <v>4</v>
      </c>
      <c r="D107" s="11">
        <v>3</v>
      </c>
      <c r="E107" s="11">
        <v>4</v>
      </c>
      <c r="F107" s="11">
        <v>4</v>
      </c>
      <c r="G107" s="11">
        <v>3</v>
      </c>
      <c r="H107" s="80">
        <f t="shared" si="0"/>
        <v>3.6</v>
      </c>
    </row>
    <row r="108" spans="2:10" x14ac:dyDescent="0.3">
      <c r="B108" s="11">
        <v>6</v>
      </c>
      <c r="C108" s="11">
        <v>3</v>
      </c>
      <c r="D108" s="11">
        <v>4</v>
      </c>
      <c r="E108" s="11">
        <v>4</v>
      </c>
      <c r="F108" s="11">
        <v>3</v>
      </c>
      <c r="G108" s="11">
        <v>3</v>
      </c>
      <c r="H108" s="80">
        <f t="shared" si="0"/>
        <v>3.4</v>
      </c>
    </row>
    <row r="109" spans="2:10" x14ac:dyDescent="0.3">
      <c r="B109" s="11">
        <v>7</v>
      </c>
      <c r="C109" s="11">
        <v>4</v>
      </c>
      <c r="D109" s="11">
        <v>4</v>
      </c>
      <c r="E109" s="11">
        <v>5</v>
      </c>
      <c r="F109" s="11">
        <v>4</v>
      </c>
      <c r="G109" s="11">
        <v>4</v>
      </c>
      <c r="H109" s="80">
        <f t="shared" si="0"/>
        <v>4.2</v>
      </c>
    </row>
    <row r="110" spans="2:10" x14ac:dyDescent="0.3">
      <c r="B110" s="11">
        <v>8</v>
      </c>
      <c r="C110" s="11">
        <v>2</v>
      </c>
      <c r="D110" s="11">
        <v>5</v>
      </c>
      <c r="E110" s="11">
        <v>3</v>
      </c>
      <c r="F110" s="11">
        <v>2</v>
      </c>
      <c r="G110" s="11">
        <v>3</v>
      </c>
      <c r="H110" s="80">
        <f t="shared" si="0"/>
        <v>3</v>
      </c>
    </row>
  </sheetData>
  <mergeCells count="9">
    <mergeCell ref="B85:J85"/>
    <mergeCell ref="B94:J94"/>
    <mergeCell ref="B101:H101"/>
    <mergeCell ref="B1:C1"/>
    <mergeCell ref="B10:C10"/>
    <mergeCell ref="B17:D17"/>
    <mergeCell ref="B26:C26"/>
    <mergeCell ref="B39:C39"/>
    <mergeCell ref="B60:J6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K111"/>
  <sheetViews>
    <sheetView topLeftCell="A85" zoomScale="68" zoomScaleNormal="100" workbookViewId="0">
      <selection activeCell="B104" sqref="B104:B111"/>
    </sheetView>
  </sheetViews>
  <sheetFormatPr defaultColWidth="8.5546875" defaultRowHeight="14.4" x14ac:dyDescent="0.3"/>
  <cols>
    <col min="1" max="1" width="4" customWidth="1"/>
    <col min="2" max="2" width="35" customWidth="1"/>
    <col min="3" max="3" width="50" customWidth="1"/>
    <col min="4" max="13" width="22" customWidth="1"/>
    <col min="14" max="16" width="18" customWidth="1"/>
  </cols>
  <sheetData>
    <row r="1" spans="2:3" x14ac:dyDescent="0.3">
      <c r="B1" s="76" t="s">
        <v>130</v>
      </c>
      <c r="C1" s="76"/>
    </row>
    <row r="2" spans="2:3" x14ac:dyDescent="0.3">
      <c r="B2" s="72" t="s">
        <v>131</v>
      </c>
      <c r="C2" s="11" t="s">
        <v>88</v>
      </c>
    </row>
    <row r="3" spans="2:3" ht="27.6" x14ac:dyDescent="0.3">
      <c r="B3" s="72" t="s">
        <v>132</v>
      </c>
      <c r="C3" s="11" t="s">
        <v>1813</v>
      </c>
    </row>
    <row r="4" spans="2:3" x14ac:dyDescent="0.3">
      <c r="B4" s="72" t="s">
        <v>134</v>
      </c>
      <c r="C4" s="11" t="s">
        <v>89</v>
      </c>
    </row>
    <row r="5" spans="2:3" ht="69" x14ac:dyDescent="0.3">
      <c r="B5" s="72" t="s">
        <v>136</v>
      </c>
      <c r="C5" s="11" t="s">
        <v>1814</v>
      </c>
    </row>
    <row r="6" spans="2:3" x14ac:dyDescent="0.3">
      <c r="B6" s="72" t="s">
        <v>138</v>
      </c>
      <c r="C6" s="11" t="s">
        <v>139</v>
      </c>
    </row>
    <row r="7" spans="2:3" ht="96.6" x14ac:dyDescent="0.3">
      <c r="B7" s="72" t="s">
        <v>140</v>
      </c>
      <c r="C7" s="11" t="s">
        <v>1815</v>
      </c>
    </row>
    <row r="9" spans="2:3" x14ac:dyDescent="0.3">
      <c r="B9" s="58" t="s">
        <v>142</v>
      </c>
    </row>
    <row r="10" spans="2:3" x14ac:dyDescent="0.3">
      <c r="B10" s="76" t="s">
        <v>143</v>
      </c>
      <c r="C10" s="76"/>
    </row>
    <row r="11" spans="2:3" ht="96.6" x14ac:dyDescent="0.3">
      <c r="B11" s="72" t="s">
        <v>1816</v>
      </c>
      <c r="C11" s="11" t="s">
        <v>1817</v>
      </c>
    </row>
    <row r="12" spans="2:3" ht="110.4" x14ac:dyDescent="0.3">
      <c r="B12" s="72" t="s">
        <v>1818</v>
      </c>
      <c r="C12" s="11" t="s">
        <v>1819</v>
      </c>
    </row>
    <row r="13" spans="2:3" ht="55.2" x14ac:dyDescent="0.3">
      <c r="B13" s="72" t="s">
        <v>1820</v>
      </c>
      <c r="C13" s="11" t="s">
        <v>1821</v>
      </c>
    </row>
    <row r="14" spans="2:3" ht="55.2" x14ac:dyDescent="0.3">
      <c r="B14" s="72" t="s">
        <v>1822</v>
      </c>
      <c r="C14" s="11" t="s">
        <v>1823</v>
      </c>
    </row>
    <row r="15" spans="2:3" ht="55.2" x14ac:dyDescent="0.3">
      <c r="B15" s="72" t="s">
        <v>1824</v>
      </c>
      <c r="C15" s="11" t="s">
        <v>1825</v>
      </c>
    </row>
    <row r="17" spans="2:4" x14ac:dyDescent="0.3">
      <c r="B17" s="76" t="s">
        <v>152</v>
      </c>
      <c r="C17" s="76"/>
      <c r="D17" s="76"/>
    </row>
    <row r="18" spans="2:4" x14ac:dyDescent="0.3">
      <c r="B18" s="72" t="s">
        <v>153</v>
      </c>
      <c r="C18" s="72" t="s">
        <v>154</v>
      </c>
      <c r="D18" s="72" t="s">
        <v>155</v>
      </c>
    </row>
    <row r="19" spans="2:4" ht="27.6" x14ac:dyDescent="0.3">
      <c r="B19" s="11" t="s">
        <v>1692</v>
      </c>
      <c r="C19" s="11" t="s">
        <v>1826</v>
      </c>
      <c r="D19" s="11" t="s">
        <v>1827</v>
      </c>
    </row>
    <row r="20" spans="2:4" ht="27.6" x14ac:dyDescent="0.3">
      <c r="B20" s="11" t="s">
        <v>1695</v>
      </c>
      <c r="C20" s="11" t="s">
        <v>1828</v>
      </c>
      <c r="D20" s="11" t="s">
        <v>1829</v>
      </c>
    </row>
    <row r="21" spans="2:4" ht="27.6" x14ac:dyDescent="0.3">
      <c r="B21" s="11" t="s">
        <v>1698</v>
      </c>
      <c r="C21" s="11" t="s">
        <v>1830</v>
      </c>
      <c r="D21" s="11" t="s">
        <v>1831</v>
      </c>
    </row>
    <row r="22" spans="2:4" ht="27.6" x14ac:dyDescent="0.3">
      <c r="B22" s="11" t="s">
        <v>1701</v>
      </c>
      <c r="C22" s="11" t="s">
        <v>1832</v>
      </c>
      <c r="D22" s="11" t="s">
        <v>1833</v>
      </c>
    </row>
    <row r="23" spans="2:4" ht="27.6" x14ac:dyDescent="0.3">
      <c r="B23" s="11" t="s">
        <v>1704</v>
      </c>
      <c r="C23" s="11" t="s">
        <v>1834</v>
      </c>
      <c r="D23" s="11" t="s">
        <v>1835</v>
      </c>
    </row>
    <row r="24" spans="2:4" ht="27.6" x14ac:dyDescent="0.3">
      <c r="B24" s="11" t="s">
        <v>1707</v>
      </c>
      <c r="C24" s="11" t="s">
        <v>1836</v>
      </c>
      <c r="D24" s="11" t="s">
        <v>1837</v>
      </c>
    </row>
    <row r="26" spans="2:4" x14ac:dyDescent="0.3">
      <c r="B26" s="76" t="s">
        <v>164</v>
      </c>
      <c r="C26" s="76"/>
    </row>
    <row r="27" spans="2:4" x14ac:dyDescent="0.3">
      <c r="B27" s="72" t="s">
        <v>165</v>
      </c>
      <c r="C27" s="72" t="s">
        <v>166</v>
      </c>
    </row>
    <row r="28" spans="2:4" ht="55.2" x14ac:dyDescent="0.3">
      <c r="B28" s="72" t="s">
        <v>167</v>
      </c>
      <c r="C28" s="11" t="s">
        <v>1838</v>
      </c>
    </row>
    <row r="29" spans="2:4" ht="55.2" x14ac:dyDescent="0.3">
      <c r="B29" s="72" t="s">
        <v>169</v>
      </c>
      <c r="C29" s="11" t="s">
        <v>1839</v>
      </c>
    </row>
    <row r="30" spans="2:4" ht="55.2" x14ac:dyDescent="0.3">
      <c r="B30" s="72" t="s">
        <v>171</v>
      </c>
      <c r="C30" s="11" t="s">
        <v>1840</v>
      </c>
    </row>
    <row r="31" spans="2:4" ht="41.4" x14ac:dyDescent="0.3">
      <c r="B31" s="72" t="s">
        <v>173</v>
      </c>
      <c r="C31" s="11" t="s">
        <v>1841</v>
      </c>
    </row>
    <row r="32" spans="2:4" ht="55.2" x14ac:dyDescent="0.3">
      <c r="B32" s="72" t="s">
        <v>175</v>
      </c>
      <c r="C32" s="11" t="s">
        <v>1842</v>
      </c>
    </row>
    <row r="33" spans="2:11" ht="55.2" x14ac:dyDescent="0.3">
      <c r="B33" s="72" t="s">
        <v>177</v>
      </c>
      <c r="C33" s="11" t="s">
        <v>1843</v>
      </c>
    </row>
    <row r="34" spans="2:11" ht="41.4" x14ac:dyDescent="0.3">
      <c r="B34" s="72" t="s">
        <v>179</v>
      </c>
      <c r="C34" s="11" t="s">
        <v>1844</v>
      </c>
    </row>
    <row r="35" spans="2:11" ht="41.4" x14ac:dyDescent="0.3">
      <c r="B35" s="72" t="s">
        <v>181</v>
      </c>
      <c r="C35" s="11" t="s">
        <v>1845</v>
      </c>
    </row>
    <row r="36" spans="2:11" ht="27.6" x14ac:dyDescent="0.3">
      <c r="B36" s="72" t="s">
        <v>183</v>
      </c>
      <c r="C36" s="11" t="s">
        <v>1846</v>
      </c>
    </row>
    <row r="38" spans="2:11" x14ac:dyDescent="0.3">
      <c r="B38" s="58" t="s">
        <v>185</v>
      </c>
    </row>
    <row r="39" spans="2:11" x14ac:dyDescent="0.3">
      <c r="B39" s="76" t="s">
        <v>186</v>
      </c>
      <c r="C39" s="76"/>
    </row>
    <row r="40" spans="2:11" ht="82.8" x14ac:dyDescent="0.3">
      <c r="B40" s="72" t="s">
        <v>1847</v>
      </c>
      <c r="C40" s="11" t="s">
        <v>1848</v>
      </c>
    </row>
    <row r="41" spans="2:11" ht="69" x14ac:dyDescent="0.3">
      <c r="B41" s="72" t="s">
        <v>1849</v>
      </c>
      <c r="C41" s="11" t="s">
        <v>1850</v>
      </c>
    </row>
    <row r="42" spans="2:11" ht="55.2" x14ac:dyDescent="0.3">
      <c r="B42" s="72" t="s">
        <v>1851</v>
      </c>
      <c r="C42" s="11" t="s">
        <v>1852</v>
      </c>
    </row>
    <row r="43" spans="2:11" ht="82.8" x14ac:dyDescent="0.3">
      <c r="B43" s="72" t="s">
        <v>1853</v>
      </c>
      <c r="C43" s="11" t="s">
        <v>1854</v>
      </c>
    </row>
    <row r="44" spans="2:11" ht="82.8" x14ac:dyDescent="0.3">
      <c r="B44" s="72" t="s">
        <v>1855</v>
      </c>
      <c r="C44" s="11" t="s">
        <v>1856</v>
      </c>
    </row>
    <row r="45" spans="2:11" ht="82.8" x14ac:dyDescent="0.3">
      <c r="B45" s="72" t="s">
        <v>1857</v>
      </c>
      <c r="C45" s="11" t="s">
        <v>1858</v>
      </c>
    </row>
    <row r="47" spans="2:11" x14ac:dyDescent="0.3">
      <c r="B47" s="58" t="s">
        <v>195</v>
      </c>
    </row>
    <row r="48" spans="2:11" x14ac:dyDescent="0.3">
      <c r="B48" s="77" t="s">
        <v>196</v>
      </c>
      <c r="C48" s="77" t="s">
        <v>1692</v>
      </c>
      <c r="D48" s="77" t="s">
        <v>1695</v>
      </c>
      <c r="E48" s="77" t="s">
        <v>1698</v>
      </c>
      <c r="F48" s="77" t="s">
        <v>1701</v>
      </c>
      <c r="G48" s="77" t="s">
        <v>1704</v>
      </c>
      <c r="H48" s="77" t="s">
        <v>1707</v>
      </c>
      <c r="I48" s="77" t="s">
        <v>1727</v>
      </c>
      <c r="J48" s="77" t="s">
        <v>1728</v>
      </c>
      <c r="K48" s="77" t="s">
        <v>1773</v>
      </c>
    </row>
    <row r="49" spans="2:11" ht="55.2" x14ac:dyDescent="0.3">
      <c r="B49" s="77" t="s">
        <v>130</v>
      </c>
      <c r="C49" s="78" t="s">
        <v>1859</v>
      </c>
      <c r="D49" s="78" t="s">
        <v>1860</v>
      </c>
      <c r="E49" s="78" t="s">
        <v>1861</v>
      </c>
      <c r="F49" s="78" t="s">
        <v>1862</v>
      </c>
      <c r="G49" s="78" t="s">
        <v>1863</v>
      </c>
      <c r="H49" s="78" t="s">
        <v>1864</v>
      </c>
      <c r="I49" s="78" t="s">
        <v>1865</v>
      </c>
      <c r="J49" s="78" t="s">
        <v>1866</v>
      </c>
      <c r="K49" s="78" t="s">
        <v>1867</v>
      </c>
    </row>
    <row r="50" spans="2:11" ht="151.80000000000001" x14ac:dyDescent="0.3">
      <c r="B50" s="72" t="s">
        <v>208</v>
      </c>
      <c r="C50" s="11" t="s">
        <v>1868</v>
      </c>
      <c r="D50" s="11" t="s">
        <v>1869</v>
      </c>
      <c r="E50" s="11" t="s">
        <v>1870</v>
      </c>
      <c r="F50" s="11" t="s">
        <v>1871</v>
      </c>
      <c r="G50" s="11" t="s">
        <v>1872</v>
      </c>
      <c r="H50" s="11" t="s">
        <v>1873</v>
      </c>
      <c r="I50" s="11" t="s">
        <v>1874</v>
      </c>
      <c r="J50" s="11" t="s">
        <v>1875</v>
      </c>
      <c r="K50" s="11" t="s">
        <v>1876</v>
      </c>
    </row>
    <row r="51" spans="2:11" ht="27.6" x14ac:dyDescent="0.3">
      <c r="B51" s="72" t="s">
        <v>167</v>
      </c>
      <c r="C51" s="11" t="s">
        <v>1877</v>
      </c>
      <c r="D51" s="11" t="s">
        <v>1878</v>
      </c>
      <c r="E51" s="11" t="s">
        <v>1879</v>
      </c>
      <c r="F51" s="11" t="s">
        <v>277</v>
      </c>
      <c r="G51" s="11" t="s">
        <v>277</v>
      </c>
      <c r="H51" s="11" t="s">
        <v>1880</v>
      </c>
      <c r="I51" s="11" t="s">
        <v>219</v>
      </c>
      <c r="J51" s="11" t="s">
        <v>1881</v>
      </c>
      <c r="K51" s="11" t="s">
        <v>1882</v>
      </c>
    </row>
    <row r="52" spans="2:11" x14ac:dyDescent="0.3">
      <c r="B52" s="72" t="s">
        <v>169</v>
      </c>
      <c r="C52" s="11" t="s">
        <v>1471</v>
      </c>
      <c r="D52" s="11" t="s">
        <v>1883</v>
      </c>
      <c r="E52" s="11" t="s">
        <v>221</v>
      </c>
      <c r="F52" s="11" t="s">
        <v>221</v>
      </c>
      <c r="G52" s="11" t="s">
        <v>1792</v>
      </c>
      <c r="H52" s="11" t="s">
        <v>1884</v>
      </c>
      <c r="I52" s="11" t="s">
        <v>278</v>
      </c>
      <c r="J52" s="11" t="s">
        <v>1885</v>
      </c>
      <c r="K52" s="11" t="s">
        <v>221</v>
      </c>
    </row>
    <row r="53" spans="2:11" x14ac:dyDescent="0.3">
      <c r="B53" s="72" t="s">
        <v>231</v>
      </c>
      <c r="C53" s="11" t="s">
        <v>232</v>
      </c>
      <c r="D53" s="11" t="s">
        <v>232</v>
      </c>
      <c r="E53" s="11" t="s">
        <v>232</v>
      </c>
      <c r="F53" s="11" t="s">
        <v>232</v>
      </c>
      <c r="G53" s="11" t="s">
        <v>1886</v>
      </c>
      <c r="H53" s="11" t="s">
        <v>221</v>
      </c>
      <c r="I53" s="11" t="s">
        <v>232</v>
      </c>
      <c r="J53" s="11" t="s">
        <v>1887</v>
      </c>
      <c r="K53" s="11" t="s">
        <v>232</v>
      </c>
    </row>
    <row r="54" spans="2:11" x14ac:dyDescent="0.3">
      <c r="B54" s="72" t="s">
        <v>177</v>
      </c>
      <c r="C54" s="11" t="s">
        <v>1888</v>
      </c>
      <c r="D54" s="11" t="s">
        <v>1889</v>
      </c>
      <c r="E54" s="11" t="s">
        <v>233</v>
      </c>
      <c r="F54" s="11" t="s">
        <v>279</v>
      </c>
      <c r="G54" s="11" t="s">
        <v>233</v>
      </c>
      <c r="H54" s="11" t="s">
        <v>1755</v>
      </c>
      <c r="I54" s="11" t="s">
        <v>233</v>
      </c>
      <c r="J54" s="11" t="s">
        <v>279</v>
      </c>
      <c r="K54" s="11" t="s">
        <v>233</v>
      </c>
    </row>
    <row r="55" spans="2:11" x14ac:dyDescent="0.3">
      <c r="B55" s="72" t="s">
        <v>179</v>
      </c>
      <c r="C55" s="11" t="s">
        <v>228</v>
      </c>
      <c r="D55" s="11" t="s">
        <v>236</v>
      </c>
      <c r="E55" s="11" t="s">
        <v>236</v>
      </c>
      <c r="F55" s="11" t="s">
        <v>236</v>
      </c>
      <c r="G55" s="11" t="s">
        <v>236</v>
      </c>
      <c r="H55" s="11" t="s">
        <v>236</v>
      </c>
      <c r="I55" s="11" t="s">
        <v>236</v>
      </c>
      <c r="J55" s="11" t="s">
        <v>236</v>
      </c>
      <c r="K55" s="11" t="s">
        <v>236</v>
      </c>
    </row>
    <row r="56" spans="2:11" x14ac:dyDescent="0.3">
      <c r="B56" s="72" t="s">
        <v>238</v>
      </c>
      <c r="C56" s="11" t="s">
        <v>1759</v>
      </c>
      <c r="D56" s="11" t="s">
        <v>802</v>
      </c>
      <c r="E56" s="11" t="s">
        <v>225</v>
      </c>
      <c r="F56" s="11" t="s">
        <v>225</v>
      </c>
      <c r="G56" s="11" t="s">
        <v>225</v>
      </c>
      <c r="H56" s="11" t="s">
        <v>1890</v>
      </c>
      <c r="I56" s="11" t="s">
        <v>225</v>
      </c>
      <c r="J56" s="11" t="s">
        <v>239</v>
      </c>
      <c r="K56" s="11" t="s">
        <v>225</v>
      </c>
    </row>
    <row r="57" spans="2:11" x14ac:dyDescent="0.3">
      <c r="B57" s="72" t="s">
        <v>181</v>
      </c>
      <c r="C57" s="11" t="s">
        <v>232</v>
      </c>
      <c r="D57" s="11" t="s">
        <v>232</v>
      </c>
      <c r="E57" s="11" t="s">
        <v>232</v>
      </c>
      <c r="F57" s="11" t="s">
        <v>232</v>
      </c>
      <c r="G57" s="11" t="s">
        <v>232</v>
      </c>
      <c r="H57" s="11" t="s">
        <v>232</v>
      </c>
      <c r="I57" s="11" t="s">
        <v>232</v>
      </c>
      <c r="J57" s="11" t="s">
        <v>232</v>
      </c>
      <c r="K57" s="11" t="s">
        <v>232</v>
      </c>
    </row>
    <row r="58" spans="2:11" x14ac:dyDescent="0.3">
      <c r="B58" s="72" t="s">
        <v>183</v>
      </c>
      <c r="C58" s="11" t="s">
        <v>228</v>
      </c>
      <c r="D58" s="11" t="s">
        <v>228</v>
      </c>
      <c r="E58" s="11" t="s">
        <v>232</v>
      </c>
      <c r="F58" s="11" t="s">
        <v>232</v>
      </c>
      <c r="G58" s="11" t="s">
        <v>232</v>
      </c>
      <c r="H58" s="11" t="s">
        <v>450</v>
      </c>
      <c r="I58" s="11" t="s">
        <v>232</v>
      </c>
      <c r="J58" s="11" t="s">
        <v>232</v>
      </c>
      <c r="K58" s="11" t="s">
        <v>232</v>
      </c>
    </row>
    <row r="59" spans="2:11" ht="124.2" x14ac:dyDescent="0.3">
      <c r="B59" s="72" t="s">
        <v>243</v>
      </c>
      <c r="C59" s="11" t="s">
        <v>1891</v>
      </c>
      <c r="D59" s="11" t="s">
        <v>1892</v>
      </c>
      <c r="E59" s="11" t="s">
        <v>1893</v>
      </c>
      <c r="F59" s="11" t="s">
        <v>1894</v>
      </c>
      <c r="G59" s="11" t="s">
        <v>1895</v>
      </c>
      <c r="H59" s="11" t="s">
        <v>1896</v>
      </c>
      <c r="I59" s="11" t="s">
        <v>1897</v>
      </c>
      <c r="J59" s="11" t="s">
        <v>1898</v>
      </c>
      <c r="K59" s="11" t="s">
        <v>1899</v>
      </c>
    </row>
    <row r="61" spans="2:11" ht="27.6" customHeight="1" x14ac:dyDescent="0.3">
      <c r="B61" s="76" t="s">
        <v>254</v>
      </c>
      <c r="C61" s="76"/>
      <c r="D61" s="76"/>
      <c r="E61" s="76"/>
      <c r="F61" s="76"/>
      <c r="G61" s="76"/>
      <c r="H61" s="76"/>
      <c r="I61" s="76"/>
      <c r="J61" s="76"/>
      <c r="K61" s="85"/>
    </row>
    <row r="62" spans="2:11" x14ac:dyDescent="0.3">
      <c r="B62" s="72" t="s">
        <v>255</v>
      </c>
      <c r="C62" s="72" t="s">
        <v>167</v>
      </c>
      <c r="D62" s="72" t="s">
        <v>169</v>
      </c>
      <c r="E62" s="72" t="s">
        <v>171</v>
      </c>
      <c r="F62" s="72" t="s">
        <v>177</v>
      </c>
      <c r="G62" s="72" t="s">
        <v>179</v>
      </c>
      <c r="H62" s="72" t="s">
        <v>175</v>
      </c>
      <c r="I62" s="72" t="s">
        <v>181</v>
      </c>
      <c r="J62" s="72" t="s">
        <v>183</v>
      </c>
    </row>
    <row r="63" spans="2:11" x14ac:dyDescent="0.3">
      <c r="B63" s="11" t="s">
        <v>1692</v>
      </c>
      <c r="C63" s="11" t="s">
        <v>224</v>
      </c>
      <c r="D63" s="11" t="s">
        <v>1471</v>
      </c>
      <c r="E63" s="11" t="s">
        <v>232</v>
      </c>
      <c r="F63" s="11" t="s">
        <v>1888</v>
      </c>
      <c r="G63" s="11" t="s">
        <v>228</v>
      </c>
      <c r="H63" s="11" t="s">
        <v>240</v>
      </c>
      <c r="I63" s="11" t="s">
        <v>232</v>
      </c>
      <c r="J63" s="11" t="s">
        <v>228</v>
      </c>
    </row>
    <row r="64" spans="2:11" x14ac:dyDescent="0.3">
      <c r="B64" s="11" t="s">
        <v>1695</v>
      </c>
      <c r="C64" s="11" t="s">
        <v>1900</v>
      </c>
      <c r="D64" s="11" t="s">
        <v>1883</v>
      </c>
      <c r="E64" s="11" t="s">
        <v>232</v>
      </c>
      <c r="F64" s="11" t="s">
        <v>1901</v>
      </c>
      <c r="G64" s="11" t="s">
        <v>236</v>
      </c>
      <c r="H64" s="11" t="s">
        <v>802</v>
      </c>
      <c r="I64" s="11" t="s">
        <v>232</v>
      </c>
      <c r="J64" s="11" t="s">
        <v>228</v>
      </c>
    </row>
    <row r="65" spans="2:10" x14ac:dyDescent="0.3">
      <c r="B65" s="11" t="s">
        <v>1698</v>
      </c>
      <c r="C65" s="11" t="s">
        <v>221</v>
      </c>
      <c r="D65" s="11" t="s">
        <v>221</v>
      </c>
      <c r="E65" s="11" t="s">
        <v>232</v>
      </c>
      <c r="F65" s="11" t="s">
        <v>233</v>
      </c>
      <c r="G65" s="11" t="s">
        <v>236</v>
      </c>
      <c r="H65" s="11" t="s">
        <v>225</v>
      </c>
      <c r="I65" s="11" t="s">
        <v>232</v>
      </c>
      <c r="J65" s="11" t="s">
        <v>232</v>
      </c>
    </row>
    <row r="66" spans="2:10" x14ac:dyDescent="0.3">
      <c r="B66" s="11" t="s">
        <v>1701</v>
      </c>
      <c r="C66" s="11" t="s">
        <v>277</v>
      </c>
      <c r="D66" s="11" t="s">
        <v>221</v>
      </c>
      <c r="E66" s="11" t="s">
        <v>232</v>
      </c>
      <c r="F66" s="11" t="s">
        <v>583</v>
      </c>
      <c r="G66" s="11" t="s">
        <v>236</v>
      </c>
      <c r="H66" s="11" t="s">
        <v>225</v>
      </c>
      <c r="I66" s="11" t="s">
        <v>232</v>
      </c>
      <c r="J66" s="11" t="s">
        <v>232</v>
      </c>
    </row>
    <row r="67" spans="2:10" x14ac:dyDescent="0.3">
      <c r="B67" s="11" t="s">
        <v>1704</v>
      </c>
      <c r="C67" s="11" t="s">
        <v>277</v>
      </c>
      <c r="D67" s="11" t="s">
        <v>278</v>
      </c>
      <c r="E67" s="11" t="s">
        <v>1902</v>
      </c>
      <c r="F67" s="11" t="s">
        <v>233</v>
      </c>
      <c r="G67" s="11" t="s">
        <v>236</v>
      </c>
      <c r="H67" s="11" t="s">
        <v>225</v>
      </c>
      <c r="I67" s="11" t="s">
        <v>232</v>
      </c>
      <c r="J67" s="11" t="s">
        <v>232</v>
      </c>
    </row>
    <row r="68" spans="2:10" x14ac:dyDescent="0.3">
      <c r="B68" s="11" t="s">
        <v>1707</v>
      </c>
      <c r="C68" s="11" t="s">
        <v>223</v>
      </c>
      <c r="D68" s="11" t="s">
        <v>955</v>
      </c>
      <c r="E68" s="11" t="s">
        <v>221</v>
      </c>
      <c r="F68" s="11" t="s">
        <v>1755</v>
      </c>
      <c r="G68" s="11" t="s">
        <v>236</v>
      </c>
      <c r="H68" s="11" t="s">
        <v>1890</v>
      </c>
      <c r="I68" s="11" t="s">
        <v>232</v>
      </c>
      <c r="J68" s="11" t="s">
        <v>450</v>
      </c>
    </row>
    <row r="69" spans="2:10" x14ac:dyDescent="0.3">
      <c r="B69" s="11" t="s">
        <v>1727</v>
      </c>
      <c r="C69" s="11" t="s">
        <v>219</v>
      </c>
      <c r="D69" s="11" t="s">
        <v>278</v>
      </c>
      <c r="E69" s="11" t="s">
        <v>232</v>
      </c>
      <c r="F69" s="11" t="s">
        <v>233</v>
      </c>
      <c r="G69" s="11" t="s">
        <v>236</v>
      </c>
      <c r="H69" s="11" t="s">
        <v>225</v>
      </c>
      <c r="I69" s="11" t="s">
        <v>232</v>
      </c>
      <c r="J69" s="11" t="s">
        <v>232</v>
      </c>
    </row>
    <row r="70" spans="2:10" x14ac:dyDescent="0.3">
      <c r="B70" s="11" t="s">
        <v>1728</v>
      </c>
      <c r="C70" s="11" t="s">
        <v>221</v>
      </c>
      <c r="D70" s="11" t="s">
        <v>1903</v>
      </c>
      <c r="E70" s="11" t="s">
        <v>465</v>
      </c>
      <c r="F70" s="11" t="s">
        <v>583</v>
      </c>
      <c r="G70" s="11" t="s">
        <v>236</v>
      </c>
      <c r="H70" s="11" t="s">
        <v>239</v>
      </c>
      <c r="I70" s="11" t="s">
        <v>232</v>
      </c>
      <c r="J70" s="11" t="s">
        <v>232</v>
      </c>
    </row>
    <row r="71" spans="2:10" x14ac:dyDescent="0.3">
      <c r="B71" s="11" t="s">
        <v>1773</v>
      </c>
      <c r="C71" s="11" t="s">
        <v>277</v>
      </c>
      <c r="D71" s="11" t="s">
        <v>221</v>
      </c>
      <c r="E71" s="11" t="s">
        <v>232</v>
      </c>
      <c r="F71" s="11" t="s">
        <v>233</v>
      </c>
      <c r="G71" s="11" t="s">
        <v>236</v>
      </c>
      <c r="H71" s="11" t="s">
        <v>225</v>
      </c>
      <c r="I71" s="11" t="s">
        <v>232</v>
      </c>
      <c r="J71" s="11" t="s">
        <v>232</v>
      </c>
    </row>
    <row r="73" spans="2:10" x14ac:dyDescent="0.3">
      <c r="B73" s="58" t="s">
        <v>264</v>
      </c>
    </row>
    <row r="74" spans="2:10" x14ac:dyDescent="0.3">
      <c r="B74" s="77" t="s">
        <v>196</v>
      </c>
      <c r="C74" s="77" t="s">
        <v>1774</v>
      </c>
      <c r="D74" s="77" t="s">
        <v>1775</v>
      </c>
      <c r="E74" s="77" t="s">
        <v>1776</v>
      </c>
      <c r="F74" s="77" t="s">
        <v>1777</v>
      </c>
      <c r="G74" s="77" t="s">
        <v>1778</v>
      </c>
    </row>
    <row r="75" spans="2:10" ht="41.4" x14ac:dyDescent="0.3">
      <c r="B75" s="77" t="s">
        <v>130</v>
      </c>
      <c r="C75" s="78" t="s">
        <v>1904</v>
      </c>
      <c r="D75" s="78" t="s">
        <v>1905</v>
      </c>
      <c r="E75" s="78" t="s">
        <v>1906</v>
      </c>
      <c r="F75" s="78" t="s">
        <v>1907</v>
      </c>
      <c r="G75" s="78" t="s">
        <v>1908</v>
      </c>
    </row>
    <row r="76" spans="2:10" ht="138" x14ac:dyDescent="0.3">
      <c r="B76" s="72" t="s">
        <v>208</v>
      </c>
      <c r="C76" s="11" t="s">
        <v>1909</v>
      </c>
      <c r="D76" s="11" t="s">
        <v>1910</v>
      </c>
      <c r="E76" s="11" t="s">
        <v>1911</v>
      </c>
      <c r="F76" s="11" t="s">
        <v>1912</v>
      </c>
      <c r="G76" s="11" t="s">
        <v>1913</v>
      </c>
    </row>
    <row r="77" spans="2:10" ht="27.6" x14ac:dyDescent="0.3">
      <c r="B77" s="72" t="s">
        <v>167</v>
      </c>
      <c r="C77" s="11" t="s">
        <v>1914</v>
      </c>
      <c r="D77" s="11" t="s">
        <v>1915</v>
      </c>
      <c r="E77" s="11" t="s">
        <v>277</v>
      </c>
      <c r="F77" s="11" t="s">
        <v>221</v>
      </c>
      <c r="G77" s="11" t="s">
        <v>1916</v>
      </c>
    </row>
    <row r="78" spans="2:10" x14ac:dyDescent="0.3">
      <c r="B78" s="72" t="s">
        <v>169</v>
      </c>
      <c r="C78" s="11" t="s">
        <v>221</v>
      </c>
      <c r="D78" s="11" t="s">
        <v>221</v>
      </c>
      <c r="E78" s="11" t="s">
        <v>1917</v>
      </c>
      <c r="F78" s="11" t="s">
        <v>221</v>
      </c>
      <c r="G78" s="11" t="s">
        <v>229</v>
      </c>
    </row>
    <row r="79" spans="2:10" x14ac:dyDescent="0.3">
      <c r="B79" s="72" t="s">
        <v>231</v>
      </c>
      <c r="C79" s="11" t="s">
        <v>232</v>
      </c>
      <c r="D79" s="11" t="s">
        <v>232</v>
      </c>
      <c r="E79" s="11" t="s">
        <v>232</v>
      </c>
      <c r="F79" s="11" t="s">
        <v>232</v>
      </c>
      <c r="G79" s="11" t="s">
        <v>232</v>
      </c>
    </row>
    <row r="80" spans="2:10" x14ac:dyDescent="0.3">
      <c r="B80" s="72" t="s">
        <v>177</v>
      </c>
      <c r="C80" s="11" t="s">
        <v>279</v>
      </c>
      <c r="D80" s="11" t="s">
        <v>233</v>
      </c>
      <c r="E80" s="11" t="s">
        <v>280</v>
      </c>
      <c r="F80" s="11" t="s">
        <v>1918</v>
      </c>
      <c r="G80" s="11" t="s">
        <v>1475</v>
      </c>
    </row>
    <row r="81" spans="2:10" x14ac:dyDescent="0.3">
      <c r="B81" s="72" t="s">
        <v>179</v>
      </c>
      <c r="C81" s="11" t="s">
        <v>223</v>
      </c>
      <c r="D81" s="11" t="s">
        <v>236</v>
      </c>
      <c r="E81" s="11" t="s">
        <v>236</v>
      </c>
      <c r="F81" s="11" t="s">
        <v>223</v>
      </c>
      <c r="G81" s="11" t="s">
        <v>223</v>
      </c>
    </row>
    <row r="82" spans="2:10" x14ac:dyDescent="0.3">
      <c r="B82" s="72" t="s">
        <v>238</v>
      </c>
      <c r="C82" s="11" t="s">
        <v>239</v>
      </c>
      <c r="D82" s="11" t="s">
        <v>225</v>
      </c>
      <c r="E82" s="11" t="s">
        <v>239</v>
      </c>
      <c r="F82" s="11" t="s">
        <v>225</v>
      </c>
      <c r="G82" s="11" t="s">
        <v>225</v>
      </c>
    </row>
    <row r="83" spans="2:10" x14ac:dyDescent="0.3">
      <c r="B83" s="72" t="s">
        <v>181</v>
      </c>
      <c r="C83" s="11" t="s">
        <v>232</v>
      </c>
      <c r="D83" s="11" t="s">
        <v>232</v>
      </c>
      <c r="E83" s="11" t="s">
        <v>232</v>
      </c>
      <c r="F83" s="11" t="s">
        <v>450</v>
      </c>
      <c r="G83" s="11" t="s">
        <v>1763</v>
      </c>
    </row>
    <row r="84" spans="2:10" x14ac:dyDescent="0.3">
      <c r="B84" s="72" t="s">
        <v>183</v>
      </c>
      <c r="C84" s="11" t="s">
        <v>232</v>
      </c>
      <c r="D84" s="11" t="s">
        <v>232</v>
      </c>
      <c r="E84" s="11" t="s">
        <v>232</v>
      </c>
      <c r="F84" s="11" t="s">
        <v>232</v>
      </c>
      <c r="G84" s="11" t="s">
        <v>450</v>
      </c>
    </row>
    <row r="85" spans="2:10" ht="110.4" x14ac:dyDescent="0.3">
      <c r="B85" s="72" t="s">
        <v>243</v>
      </c>
      <c r="C85" s="11" t="s">
        <v>1919</v>
      </c>
      <c r="D85" s="11" t="s">
        <v>1920</v>
      </c>
      <c r="E85" s="11" t="s">
        <v>1921</v>
      </c>
      <c r="F85" s="11" t="s">
        <v>1922</v>
      </c>
      <c r="G85" s="11" t="s">
        <v>1923</v>
      </c>
    </row>
    <row r="87" spans="2:10" x14ac:dyDescent="0.3">
      <c r="B87" s="76" t="s">
        <v>287</v>
      </c>
      <c r="C87" s="76"/>
      <c r="D87" s="76"/>
      <c r="E87" s="76"/>
      <c r="F87" s="76"/>
      <c r="G87" s="76"/>
      <c r="H87" s="76"/>
      <c r="I87" s="76"/>
      <c r="J87" s="76"/>
    </row>
    <row r="88" spans="2:10" x14ac:dyDescent="0.3">
      <c r="B88" s="72" t="s">
        <v>255</v>
      </c>
      <c r="C88" s="72" t="s">
        <v>167</v>
      </c>
      <c r="D88" s="72" t="s">
        <v>169</v>
      </c>
      <c r="E88" s="72" t="s">
        <v>171</v>
      </c>
      <c r="F88" s="72" t="s">
        <v>177</v>
      </c>
      <c r="G88" s="72" t="s">
        <v>179</v>
      </c>
      <c r="H88" s="72" t="s">
        <v>175</v>
      </c>
      <c r="I88" s="72" t="s">
        <v>181</v>
      </c>
      <c r="J88" s="72" t="s">
        <v>183</v>
      </c>
    </row>
    <row r="89" spans="2:10" x14ac:dyDescent="0.3">
      <c r="B89" s="11" t="s">
        <v>1774</v>
      </c>
      <c r="C89" s="11" t="s">
        <v>219</v>
      </c>
      <c r="D89" s="11" t="s">
        <v>221</v>
      </c>
      <c r="E89" s="11" t="s">
        <v>232</v>
      </c>
      <c r="F89" s="11" t="s">
        <v>583</v>
      </c>
      <c r="G89" s="11" t="s">
        <v>223</v>
      </c>
      <c r="H89" s="11" t="s">
        <v>239</v>
      </c>
      <c r="I89" s="11" t="s">
        <v>232</v>
      </c>
      <c r="J89" s="11" t="s">
        <v>232</v>
      </c>
    </row>
    <row r="90" spans="2:10" x14ac:dyDescent="0.3">
      <c r="B90" s="11" t="s">
        <v>1775</v>
      </c>
      <c r="C90" s="11" t="s">
        <v>221</v>
      </c>
      <c r="D90" s="11" t="s">
        <v>221</v>
      </c>
      <c r="E90" s="11" t="s">
        <v>232</v>
      </c>
      <c r="F90" s="11" t="s">
        <v>233</v>
      </c>
      <c r="G90" s="11" t="s">
        <v>236</v>
      </c>
      <c r="H90" s="11" t="s">
        <v>225</v>
      </c>
      <c r="I90" s="11" t="s">
        <v>232</v>
      </c>
      <c r="J90" s="11" t="s">
        <v>232</v>
      </c>
    </row>
    <row r="91" spans="2:10" x14ac:dyDescent="0.3">
      <c r="B91" s="11" t="s">
        <v>1776</v>
      </c>
      <c r="C91" s="11" t="s">
        <v>277</v>
      </c>
      <c r="D91" s="11" t="s">
        <v>278</v>
      </c>
      <c r="E91" s="11" t="s">
        <v>232</v>
      </c>
      <c r="F91" s="11" t="s">
        <v>280</v>
      </c>
      <c r="G91" s="11" t="s">
        <v>236</v>
      </c>
      <c r="H91" s="11" t="s">
        <v>239</v>
      </c>
      <c r="I91" s="11" t="s">
        <v>232</v>
      </c>
      <c r="J91" s="11" t="s">
        <v>232</v>
      </c>
    </row>
    <row r="92" spans="2:10" x14ac:dyDescent="0.3">
      <c r="B92" s="11" t="s">
        <v>1777</v>
      </c>
      <c r="C92" s="11" t="s">
        <v>221</v>
      </c>
      <c r="D92" s="11" t="s">
        <v>221</v>
      </c>
      <c r="E92" s="11" t="s">
        <v>232</v>
      </c>
      <c r="F92" s="11" t="s">
        <v>1918</v>
      </c>
      <c r="G92" s="11" t="s">
        <v>223</v>
      </c>
      <c r="H92" s="11" t="s">
        <v>225</v>
      </c>
      <c r="I92" s="11" t="s">
        <v>450</v>
      </c>
      <c r="J92" s="11" t="s">
        <v>232</v>
      </c>
    </row>
    <row r="93" spans="2:10" x14ac:dyDescent="0.3">
      <c r="B93" s="11" t="s">
        <v>1778</v>
      </c>
      <c r="C93" s="11" t="s">
        <v>221</v>
      </c>
      <c r="D93" s="11" t="s">
        <v>229</v>
      </c>
      <c r="E93" s="11" t="s">
        <v>232</v>
      </c>
      <c r="F93" s="11" t="s">
        <v>1488</v>
      </c>
      <c r="G93" s="11" t="s">
        <v>223</v>
      </c>
      <c r="H93" s="11" t="s">
        <v>225</v>
      </c>
      <c r="I93" s="11" t="s">
        <v>1763</v>
      </c>
      <c r="J93" s="11" t="s">
        <v>450</v>
      </c>
    </row>
    <row r="95" spans="2:10" x14ac:dyDescent="0.3">
      <c r="B95" s="76" t="s">
        <v>288</v>
      </c>
      <c r="C95" s="76"/>
      <c r="D95" s="76"/>
      <c r="E95" s="76"/>
      <c r="F95" s="76"/>
      <c r="G95" s="76"/>
      <c r="H95" s="76"/>
      <c r="I95" s="76"/>
      <c r="J95" s="76"/>
    </row>
    <row r="96" spans="2:10" x14ac:dyDescent="0.3">
      <c r="B96" s="72" t="s">
        <v>289</v>
      </c>
      <c r="C96" s="72" t="s">
        <v>167</v>
      </c>
      <c r="D96" s="72" t="s">
        <v>169</v>
      </c>
      <c r="E96" s="72" t="s">
        <v>171</v>
      </c>
      <c r="F96" s="72" t="s">
        <v>177</v>
      </c>
      <c r="G96" s="72" t="s">
        <v>179</v>
      </c>
      <c r="H96" s="72" t="s">
        <v>175</v>
      </c>
      <c r="I96" s="72" t="s">
        <v>181</v>
      </c>
      <c r="J96" s="72" t="s">
        <v>183</v>
      </c>
    </row>
    <row r="97" spans="2:10" x14ac:dyDescent="0.3">
      <c r="B97" s="11" t="s">
        <v>1692</v>
      </c>
      <c r="C97" s="11" t="s">
        <v>1924</v>
      </c>
      <c r="D97" s="11" t="s">
        <v>1925</v>
      </c>
      <c r="E97" s="11" t="s">
        <v>1926</v>
      </c>
      <c r="F97" s="11" t="s">
        <v>292</v>
      </c>
      <c r="G97" s="11" t="s">
        <v>223</v>
      </c>
      <c r="H97" s="11" t="s">
        <v>223</v>
      </c>
      <c r="I97" s="11" t="s">
        <v>1927</v>
      </c>
      <c r="J97" s="11" t="s">
        <v>219</v>
      </c>
    </row>
    <row r="98" spans="2:10" ht="27.6" x14ac:dyDescent="0.3">
      <c r="B98" s="11" t="s">
        <v>1695</v>
      </c>
      <c r="C98" s="11" t="s">
        <v>1928</v>
      </c>
      <c r="D98" s="11" t="s">
        <v>1929</v>
      </c>
      <c r="E98" s="11" t="s">
        <v>1930</v>
      </c>
      <c r="F98" s="11" t="s">
        <v>297</v>
      </c>
      <c r="G98" s="11" t="s">
        <v>1931</v>
      </c>
      <c r="H98" s="11" t="s">
        <v>240</v>
      </c>
      <c r="I98" s="11" t="s">
        <v>1932</v>
      </c>
      <c r="J98" s="11" t="s">
        <v>228</v>
      </c>
    </row>
    <row r="99" spans="2:10" x14ac:dyDescent="0.3">
      <c r="B99" s="11" t="s">
        <v>1698</v>
      </c>
      <c r="C99" s="11" t="s">
        <v>1933</v>
      </c>
      <c r="D99" s="11" t="s">
        <v>1934</v>
      </c>
      <c r="E99" s="11" t="s">
        <v>1935</v>
      </c>
      <c r="F99" s="11" t="s">
        <v>233</v>
      </c>
      <c r="G99" s="11" t="s">
        <v>223</v>
      </c>
      <c r="H99" s="11" t="s">
        <v>225</v>
      </c>
      <c r="I99" s="11" t="s">
        <v>1936</v>
      </c>
      <c r="J99" s="11" t="s">
        <v>232</v>
      </c>
    </row>
    <row r="100" spans="2:10" ht="27.6" x14ac:dyDescent="0.3">
      <c r="B100" s="11" t="s">
        <v>1701</v>
      </c>
      <c r="C100" s="11" t="s">
        <v>1937</v>
      </c>
      <c r="D100" s="11" t="s">
        <v>1938</v>
      </c>
      <c r="E100" s="11" t="s">
        <v>1939</v>
      </c>
      <c r="F100" s="11" t="s">
        <v>583</v>
      </c>
      <c r="G100" s="11" t="s">
        <v>223</v>
      </c>
      <c r="H100" s="11" t="s">
        <v>239</v>
      </c>
      <c r="I100" s="11" t="s">
        <v>225</v>
      </c>
      <c r="J100" s="11" t="s">
        <v>232</v>
      </c>
    </row>
    <row r="102" spans="2:10" x14ac:dyDescent="0.3">
      <c r="B102" s="76" t="s">
        <v>306</v>
      </c>
      <c r="C102" s="76"/>
      <c r="D102" s="76"/>
      <c r="E102" s="76"/>
      <c r="F102" s="76"/>
      <c r="G102" s="76"/>
      <c r="H102" s="76"/>
    </row>
    <row r="103" spans="2:10" x14ac:dyDescent="0.3">
      <c r="B103" s="77" t="s">
        <v>255</v>
      </c>
      <c r="C103" s="77" t="s">
        <v>167</v>
      </c>
      <c r="D103" s="77" t="s">
        <v>307</v>
      </c>
      <c r="E103" s="77" t="s">
        <v>308</v>
      </c>
      <c r="F103" s="77" t="s">
        <v>309</v>
      </c>
      <c r="G103" s="77" t="s">
        <v>181</v>
      </c>
      <c r="H103" s="77" t="s">
        <v>310</v>
      </c>
    </row>
    <row r="104" spans="2:10" x14ac:dyDescent="0.3">
      <c r="B104" s="11">
        <v>1</v>
      </c>
      <c r="C104" s="11">
        <v>5</v>
      </c>
      <c r="D104" s="11">
        <v>4</v>
      </c>
      <c r="E104" s="11">
        <v>4</v>
      </c>
      <c r="F104" s="11">
        <v>5</v>
      </c>
      <c r="G104" s="11">
        <v>4</v>
      </c>
      <c r="H104" s="80">
        <f t="shared" ref="H104:H111" si="0">AVERAGE(C104:G104)</f>
        <v>4.4000000000000004</v>
      </c>
    </row>
    <row r="105" spans="2:10" x14ac:dyDescent="0.3">
      <c r="B105" s="11">
        <v>2</v>
      </c>
      <c r="C105" s="11">
        <v>5</v>
      </c>
      <c r="D105" s="11">
        <v>3</v>
      </c>
      <c r="E105" s="11">
        <v>5</v>
      </c>
      <c r="F105" s="11">
        <v>5</v>
      </c>
      <c r="G105" s="11">
        <v>3</v>
      </c>
      <c r="H105" s="80">
        <f t="shared" si="0"/>
        <v>4.2</v>
      </c>
    </row>
    <row r="106" spans="2:10" x14ac:dyDescent="0.3">
      <c r="B106" s="11">
        <v>3</v>
      </c>
      <c r="C106" s="11">
        <v>4</v>
      </c>
      <c r="D106" s="11">
        <v>5</v>
      </c>
      <c r="E106" s="11">
        <v>4</v>
      </c>
      <c r="F106" s="11">
        <v>4</v>
      </c>
      <c r="G106" s="11">
        <v>3</v>
      </c>
      <c r="H106" s="80">
        <f t="shared" si="0"/>
        <v>4</v>
      </c>
    </row>
    <row r="107" spans="2:10" x14ac:dyDescent="0.3">
      <c r="B107" s="11">
        <v>4</v>
      </c>
      <c r="C107" s="11">
        <v>3</v>
      </c>
      <c r="D107" s="11">
        <v>4</v>
      </c>
      <c r="E107" s="11">
        <v>4</v>
      </c>
      <c r="F107" s="11">
        <v>3</v>
      </c>
      <c r="G107" s="11">
        <v>4</v>
      </c>
      <c r="H107" s="80">
        <f t="shared" si="0"/>
        <v>3.6</v>
      </c>
    </row>
    <row r="108" spans="2:10" x14ac:dyDescent="0.3">
      <c r="B108" s="11">
        <v>5</v>
      </c>
      <c r="C108" s="11">
        <v>3</v>
      </c>
      <c r="D108" s="11">
        <v>4</v>
      </c>
      <c r="E108" s="11">
        <v>4</v>
      </c>
      <c r="F108" s="11">
        <v>4</v>
      </c>
      <c r="G108" s="11">
        <v>3</v>
      </c>
      <c r="H108" s="80">
        <f t="shared" si="0"/>
        <v>3.6</v>
      </c>
    </row>
    <row r="109" spans="2:10" x14ac:dyDescent="0.3">
      <c r="B109" s="11">
        <v>6</v>
      </c>
      <c r="C109" s="11">
        <v>4</v>
      </c>
      <c r="D109" s="11">
        <v>4</v>
      </c>
      <c r="E109" s="11">
        <v>4</v>
      </c>
      <c r="F109" s="11">
        <v>4</v>
      </c>
      <c r="G109" s="11">
        <v>3</v>
      </c>
      <c r="H109" s="80">
        <f t="shared" si="0"/>
        <v>3.8</v>
      </c>
    </row>
    <row r="110" spans="2:10" x14ac:dyDescent="0.3">
      <c r="B110" s="11">
        <v>7</v>
      </c>
      <c r="C110" s="11">
        <v>4</v>
      </c>
      <c r="D110" s="11">
        <v>3</v>
      </c>
      <c r="E110" s="11">
        <v>5</v>
      </c>
      <c r="F110" s="11">
        <v>5</v>
      </c>
      <c r="G110" s="11">
        <v>3</v>
      </c>
      <c r="H110" s="80">
        <f t="shared" si="0"/>
        <v>4</v>
      </c>
    </row>
    <row r="111" spans="2:10" x14ac:dyDescent="0.3">
      <c r="B111" s="11">
        <v>8</v>
      </c>
      <c r="C111" s="11">
        <v>4</v>
      </c>
      <c r="D111" s="11">
        <v>2</v>
      </c>
      <c r="E111" s="11">
        <v>5</v>
      </c>
      <c r="F111" s="11">
        <v>5</v>
      </c>
      <c r="G111" s="11">
        <v>3</v>
      </c>
      <c r="H111" s="80">
        <f t="shared" si="0"/>
        <v>3.8</v>
      </c>
    </row>
  </sheetData>
  <mergeCells count="9">
    <mergeCell ref="B87:J87"/>
    <mergeCell ref="B95:J95"/>
    <mergeCell ref="B102:H102"/>
    <mergeCell ref="B1:C1"/>
    <mergeCell ref="B10:C10"/>
    <mergeCell ref="B26:C26"/>
    <mergeCell ref="B17:D17"/>
    <mergeCell ref="B39:C39"/>
    <mergeCell ref="B61:J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09"/>
  <sheetViews>
    <sheetView topLeftCell="A85" zoomScale="71" zoomScaleNormal="100" workbookViewId="0">
      <selection activeCell="B102" sqref="B102:B109"/>
    </sheetView>
  </sheetViews>
  <sheetFormatPr defaultColWidth="8.5546875" defaultRowHeight="14.4" x14ac:dyDescent="0.3"/>
  <cols>
    <col min="1" max="1" width="4" customWidth="1"/>
    <col min="2" max="2" width="35" customWidth="1"/>
    <col min="3" max="3" width="50" customWidth="1"/>
    <col min="4" max="13" width="22" customWidth="1"/>
    <col min="14" max="16" width="18" customWidth="1"/>
  </cols>
  <sheetData>
    <row r="1" spans="2:3" x14ac:dyDescent="0.3">
      <c r="B1" s="76" t="s">
        <v>130</v>
      </c>
      <c r="C1" s="76"/>
    </row>
    <row r="2" spans="2:3" x14ac:dyDescent="0.3">
      <c r="B2" s="72" t="s">
        <v>131</v>
      </c>
      <c r="C2" s="11" t="s">
        <v>95</v>
      </c>
    </row>
    <row r="3" spans="2:3" ht="27.6" x14ac:dyDescent="0.3">
      <c r="B3" s="72" t="s">
        <v>132</v>
      </c>
      <c r="C3" s="11" t="s">
        <v>1940</v>
      </c>
    </row>
    <row r="4" spans="2:3" x14ac:dyDescent="0.3">
      <c r="B4" s="72" t="s">
        <v>134</v>
      </c>
      <c r="C4" s="11" t="s">
        <v>96</v>
      </c>
    </row>
    <row r="5" spans="2:3" ht="96.6" x14ac:dyDescent="0.3">
      <c r="B5" s="72" t="s">
        <v>136</v>
      </c>
      <c r="C5" s="11" t="s">
        <v>1941</v>
      </c>
    </row>
    <row r="6" spans="2:3" x14ac:dyDescent="0.3">
      <c r="B6" s="72" t="s">
        <v>138</v>
      </c>
      <c r="C6" s="11" t="s">
        <v>139</v>
      </c>
    </row>
    <row r="7" spans="2:3" ht="96.6" x14ac:dyDescent="0.3">
      <c r="B7" s="72" t="s">
        <v>140</v>
      </c>
      <c r="C7" s="11" t="s">
        <v>1942</v>
      </c>
    </row>
    <row r="9" spans="2:3" x14ac:dyDescent="0.3">
      <c r="B9" s="58" t="s">
        <v>142</v>
      </c>
    </row>
    <row r="10" spans="2:3" x14ac:dyDescent="0.3">
      <c r="B10" s="76" t="s">
        <v>143</v>
      </c>
      <c r="C10" s="76"/>
    </row>
    <row r="11" spans="2:3" ht="82.8" x14ac:dyDescent="0.3">
      <c r="B11" s="72" t="s">
        <v>1943</v>
      </c>
      <c r="C11" s="11" t="s">
        <v>1944</v>
      </c>
    </row>
    <row r="12" spans="2:3" ht="82.8" x14ac:dyDescent="0.3">
      <c r="B12" s="72" t="s">
        <v>1945</v>
      </c>
      <c r="C12" s="11" t="s">
        <v>1946</v>
      </c>
    </row>
    <row r="13" spans="2:3" ht="69" x14ac:dyDescent="0.3">
      <c r="B13" s="72" t="s">
        <v>1947</v>
      </c>
      <c r="C13" s="11" t="s">
        <v>1948</v>
      </c>
    </row>
    <row r="14" spans="2:3" ht="69" x14ac:dyDescent="0.3">
      <c r="B14" s="72" t="s">
        <v>1949</v>
      </c>
      <c r="C14" s="11" t="s">
        <v>1950</v>
      </c>
    </row>
    <row r="15" spans="2:3" ht="69" x14ac:dyDescent="0.3">
      <c r="B15" s="72" t="s">
        <v>1951</v>
      </c>
      <c r="C15" s="11" t="s">
        <v>1952</v>
      </c>
    </row>
    <row r="17" spans="2:4" x14ac:dyDescent="0.3">
      <c r="B17" s="76" t="s">
        <v>152</v>
      </c>
      <c r="C17" s="76"/>
      <c r="D17" s="76"/>
    </row>
    <row r="18" spans="2:4" x14ac:dyDescent="0.3">
      <c r="B18" s="72" t="s">
        <v>153</v>
      </c>
      <c r="C18" s="72" t="s">
        <v>154</v>
      </c>
      <c r="D18" s="72" t="s">
        <v>155</v>
      </c>
    </row>
    <row r="19" spans="2:4" ht="27.6" x14ac:dyDescent="0.3">
      <c r="B19" s="11" t="s">
        <v>1692</v>
      </c>
      <c r="C19" s="11" t="s">
        <v>1953</v>
      </c>
      <c r="D19" s="11" t="s">
        <v>1954</v>
      </c>
    </row>
    <row r="20" spans="2:4" ht="27.6" x14ac:dyDescent="0.3">
      <c r="B20" s="11" t="s">
        <v>1695</v>
      </c>
      <c r="C20" s="11" t="s">
        <v>1955</v>
      </c>
      <c r="D20" s="11" t="s">
        <v>1956</v>
      </c>
    </row>
    <row r="21" spans="2:4" ht="27.6" x14ac:dyDescent="0.3">
      <c r="B21" s="11" t="s">
        <v>1698</v>
      </c>
      <c r="C21" s="11" t="s">
        <v>1957</v>
      </c>
      <c r="D21" s="11" t="s">
        <v>1958</v>
      </c>
    </row>
    <row r="22" spans="2:4" ht="27.6" x14ac:dyDescent="0.3">
      <c r="B22" s="11" t="s">
        <v>1701</v>
      </c>
      <c r="C22" s="11" t="s">
        <v>1959</v>
      </c>
      <c r="D22" s="11" t="s">
        <v>1960</v>
      </c>
    </row>
    <row r="23" spans="2:4" ht="27.6" x14ac:dyDescent="0.3">
      <c r="B23" s="11" t="s">
        <v>1704</v>
      </c>
      <c r="C23" s="11" t="s">
        <v>1961</v>
      </c>
      <c r="D23" s="11" t="s">
        <v>1962</v>
      </c>
    </row>
    <row r="24" spans="2:4" ht="27.6" x14ac:dyDescent="0.3">
      <c r="B24" s="11" t="s">
        <v>1707</v>
      </c>
      <c r="C24" s="11" t="s">
        <v>1963</v>
      </c>
      <c r="D24" s="11" t="s">
        <v>1964</v>
      </c>
    </row>
    <row r="26" spans="2:4" x14ac:dyDescent="0.3">
      <c r="B26" s="76" t="s">
        <v>164</v>
      </c>
      <c r="C26" s="76"/>
    </row>
    <row r="27" spans="2:4" x14ac:dyDescent="0.3">
      <c r="B27" s="72" t="s">
        <v>165</v>
      </c>
      <c r="C27" s="72" t="s">
        <v>166</v>
      </c>
    </row>
    <row r="28" spans="2:4" ht="69" x14ac:dyDescent="0.3">
      <c r="B28" s="72" t="s">
        <v>167</v>
      </c>
      <c r="C28" s="11" t="s">
        <v>1965</v>
      </c>
    </row>
    <row r="29" spans="2:4" ht="55.2" x14ac:dyDescent="0.3">
      <c r="B29" s="72" t="s">
        <v>169</v>
      </c>
      <c r="C29" s="11" t="s">
        <v>1966</v>
      </c>
    </row>
    <row r="30" spans="2:4" ht="55.2" x14ac:dyDescent="0.3">
      <c r="B30" s="72" t="s">
        <v>171</v>
      </c>
      <c r="C30" s="11" t="s">
        <v>1967</v>
      </c>
    </row>
    <row r="31" spans="2:4" ht="55.2" x14ac:dyDescent="0.3">
      <c r="B31" s="72" t="s">
        <v>173</v>
      </c>
      <c r="C31" s="11" t="s">
        <v>1968</v>
      </c>
    </row>
    <row r="32" spans="2:4" ht="55.2" x14ac:dyDescent="0.3">
      <c r="B32" s="72" t="s">
        <v>175</v>
      </c>
      <c r="C32" s="11" t="s">
        <v>1969</v>
      </c>
    </row>
    <row r="33" spans="2:10" ht="69" x14ac:dyDescent="0.3">
      <c r="B33" s="72" t="s">
        <v>177</v>
      </c>
      <c r="C33" s="11" t="s">
        <v>1970</v>
      </c>
    </row>
    <row r="34" spans="2:10" ht="55.2" x14ac:dyDescent="0.3">
      <c r="B34" s="72" t="s">
        <v>179</v>
      </c>
      <c r="C34" s="11" t="s">
        <v>1971</v>
      </c>
    </row>
    <row r="35" spans="2:10" ht="55.2" x14ac:dyDescent="0.3">
      <c r="B35" s="72" t="s">
        <v>181</v>
      </c>
      <c r="C35" s="11" t="s">
        <v>1972</v>
      </c>
    </row>
    <row r="36" spans="2:10" ht="55.2" x14ac:dyDescent="0.3">
      <c r="B36" s="72" t="s">
        <v>183</v>
      </c>
      <c r="C36" s="11" t="s">
        <v>1973</v>
      </c>
    </row>
    <row r="38" spans="2:10" x14ac:dyDescent="0.3">
      <c r="B38" s="58" t="s">
        <v>185</v>
      </c>
    </row>
    <row r="39" spans="2:10" x14ac:dyDescent="0.3">
      <c r="B39" s="76" t="s">
        <v>186</v>
      </c>
      <c r="C39" s="76"/>
    </row>
    <row r="40" spans="2:10" ht="82.8" x14ac:dyDescent="0.3">
      <c r="B40" s="72" t="s">
        <v>1974</v>
      </c>
      <c r="C40" s="11" t="s">
        <v>1975</v>
      </c>
    </row>
    <row r="41" spans="2:10" ht="69" x14ac:dyDescent="0.3">
      <c r="B41" s="72" t="s">
        <v>1976</v>
      </c>
      <c r="C41" s="11" t="s">
        <v>1977</v>
      </c>
    </row>
    <row r="42" spans="2:10" ht="69" x14ac:dyDescent="0.3">
      <c r="B42" s="72" t="s">
        <v>1978</v>
      </c>
      <c r="C42" s="11" t="s">
        <v>1979</v>
      </c>
    </row>
    <row r="43" spans="2:10" ht="96.6" x14ac:dyDescent="0.3">
      <c r="B43" s="72" t="s">
        <v>1980</v>
      </c>
      <c r="C43" s="11" t="s">
        <v>1981</v>
      </c>
    </row>
    <row r="44" spans="2:10" ht="82.8" x14ac:dyDescent="0.3">
      <c r="B44" s="72" t="s">
        <v>1982</v>
      </c>
      <c r="C44" s="11" t="s">
        <v>1983</v>
      </c>
    </row>
    <row r="45" spans="2:10" ht="110.4" x14ac:dyDescent="0.3">
      <c r="B45" s="72" t="s">
        <v>1984</v>
      </c>
      <c r="C45" s="11" t="s">
        <v>1985</v>
      </c>
    </row>
    <row r="47" spans="2:10" x14ac:dyDescent="0.3">
      <c r="B47" s="58" t="s">
        <v>195</v>
      </c>
    </row>
    <row r="48" spans="2:10" x14ac:dyDescent="0.3">
      <c r="B48" s="77" t="s">
        <v>196</v>
      </c>
      <c r="C48" s="77" t="s">
        <v>1692</v>
      </c>
      <c r="D48" s="77" t="s">
        <v>1695</v>
      </c>
      <c r="E48" s="77" t="s">
        <v>1698</v>
      </c>
      <c r="F48" s="77" t="s">
        <v>1701</v>
      </c>
      <c r="G48" s="77" t="s">
        <v>1704</v>
      </c>
      <c r="H48" s="77" t="s">
        <v>1707</v>
      </c>
      <c r="I48" s="77" t="s">
        <v>1727</v>
      </c>
      <c r="J48" s="77" t="s">
        <v>1728</v>
      </c>
    </row>
    <row r="49" spans="2:10" ht="55.2" x14ac:dyDescent="0.3">
      <c r="B49" s="77" t="s">
        <v>130</v>
      </c>
      <c r="C49" s="78" t="s">
        <v>1986</v>
      </c>
      <c r="D49" s="78" t="s">
        <v>1987</v>
      </c>
      <c r="E49" s="78" t="s">
        <v>1988</v>
      </c>
      <c r="F49" s="78" t="s">
        <v>1989</v>
      </c>
      <c r="G49" s="78" t="s">
        <v>1990</v>
      </c>
      <c r="H49" s="78" t="s">
        <v>1991</v>
      </c>
      <c r="I49" s="78" t="s">
        <v>1992</v>
      </c>
      <c r="J49" s="78" t="s">
        <v>1993</v>
      </c>
    </row>
    <row r="50" spans="2:10" ht="124.2" x14ac:dyDescent="0.3">
      <c r="B50" s="72" t="s">
        <v>208</v>
      </c>
      <c r="C50" s="11" t="s">
        <v>1994</v>
      </c>
      <c r="D50" s="11" t="s">
        <v>1995</v>
      </c>
      <c r="E50" s="11" t="s">
        <v>1996</v>
      </c>
      <c r="F50" s="11" t="s">
        <v>1997</v>
      </c>
      <c r="G50" s="11" t="s">
        <v>1998</v>
      </c>
      <c r="H50" s="11" t="s">
        <v>1999</v>
      </c>
      <c r="I50" s="11" t="s">
        <v>2000</v>
      </c>
      <c r="J50" s="11" t="s">
        <v>2001</v>
      </c>
    </row>
    <row r="51" spans="2:10" ht="27.6" x14ac:dyDescent="0.3">
      <c r="B51" s="72" t="s">
        <v>167</v>
      </c>
      <c r="C51" s="11" t="s">
        <v>2002</v>
      </c>
      <c r="D51" s="11" t="s">
        <v>2003</v>
      </c>
      <c r="E51" s="11" t="s">
        <v>2004</v>
      </c>
      <c r="F51" s="11" t="s">
        <v>277</v>
      </c>
      <c r="G51" s="11" t="s">
        <v>221</v>
      </c>
      <c r="H51" s="11" t="s">
        <v>2005</v>
      </c>
      <c r="I51" s="11" t="s">
        <v>2006</v>
      </c>
      <c r="J51" s="11" t="s">
        <v>2007</v>
      </c>
    </row>
    <row r="52" spans="2:10" x14ac:dyDescent="0.3">
      <c r="B52" s="72" t="s">
        <v>169</v>
      </c>
      <c r="C52" s="11" t="s">
        <v>1474</v>
      </c>
      <c r="D52" s="11" t="s">
        <v>1474</v>
      </c>
      <c r="E52" s="11" t="s">
        <v>221</v>
      </c>
      <c r="F52" s="11" t="s">
        <v>221</v>
      </c>
      <c r="G52" s="11" t="s">
        <v>221</v>
      </c>
      <c r="H52" s="11" t="s">
        <v>229</v>
      </c>
      <c r="I52" s="11" t="s">
        <v>229</v>
      </c>
      <c r="J52" s="11" t="s">
        <v>229</v>
      </c>
    </row>
    <row r="53" spans="2:10" ht="27.6" x14ac:dyDescent="0.3">
      <c r="B53" s="72" t="s">
        <v>231</v>
      </c>
      <c r="C53" s="11" t="s">
        <v>232</v>
      </c>
      <c r="D53" s="11" t="s">
        <v>2008</v>
      </c>
      <c r="E53" s="11" t="s">
        <v>2009</v>
      </c>
      <c r="F53" s="11" t="s">
        <v>232</v>
      </c>
      <c r="G53" s="11" t="s">
        <v>232</v>
      </c>
      <c r="H53" s="11" t="s">
        <v>232</v>
      </c>
      <c r="I53" s="11" t="s">
        <v>232</v>
      </c>
      <c r="J53" s="11" t="s">
        <v>573</v>
      </c>
    </row>
    <row r="54" spans="2:10" x14ac:dyDescent="0.3">
      <c r="B54" s="72" t="s">
        <v>177</v>
      </c>
      <c r="C54" s="11" t="s">
        <v>2010</v>
      </c>
      <c r="D54" s="11" t="s">
        <v>2011</v>
      </c>
      <c r="E54" s="11" t="s">
        <v>1888</v>
      </c>
      <c r="F54" s="11" t="s">
        <v>2012</v>
      </c>
      <c r="G54" s="11" t="s">
        <v>2013</v>
      </c>
      <c r="H54" s="11" t="s">
        <v>2014</v>
      </c>
      <c r="I54" s="11" t="s">
        <v>1888</v>
      </c>
      <c r="J54" s="11" t="s">
        <v>2015</v>
      </c>
    </row>
    <row r="55" spans="2:10" x14ac:dyDescent="0.3">
      <c r="B55" s="72" t="s">
        <v>179</v>
      </c>
      <c r="C55" s="11" t="s">
        <v>2016</v>
      </c>
      <c r="D55" s="11" t="s">
        <v>228</v>
      </c>
      <c r="E55" s="11" t="s">
        <v>2017</v>
      </c>
      <c r="F55" s="11" t="s">
        <v>2018</v>
      </c>
      <c r="G55" s="11" t="s">
        <v>2019</v>
      </c>
      <c r="H55" s="11" t="s">
        <v>236</v>
      </c>
      <c r="I55" s="11" t="s">
        <v>228</v>
      </c>
      <c r="J55" s="11" t="s">
        <v>223</v>
      </c>
    </row>
    <row r="56" spans="2:10" ht="27.6" x14ac:dyDescent="0.3">
      <c r="B56" s="72" t="s">
        <v>238</v>
      </c>
      <c r="C56" s="11" t="s">
        <v>2020</v>
      </c>
      <c r="D56" s="11" t="s">
        <v>2021</v>
      </c>
      <c r="E56" s="11" t="s">
        <v>2022</v>
      </c>
      <c r="F56" s="11" t="s">
        <v>2023</v>
      </c>
      <c r="G56" s="11" t="s">
        <v>2024</v>
      </c>
      <c r="H56" s="11" t="s">
        <v>421</v>
      </c>
      <c r="I56" s="11" t="s">
        <v>2025</v>
      </c>
      <c r="J56" s="11" t="s">
        <v>225</v>
      </c>
    </row>
    <row r="57" spans="2:10" x14ac:dyDescent="0.3">
      <c r="B57" s="72" t="s">
        <v>181</v>
      </c>
      <c r="C57" s="11" t="s">
        <v>2026</v>
      </c>
      <c r="D57" s="11" t="s">
        <v>966</v>
      </c>
      <c r="E57" s="11" t="s">
        <v>2027</v>
      </c>
      <c r="F57" s="11" t="s">
        <v>450</v>
      </c>
      <c r="G57" s="11" t="s">
        <v>450</v>
      </c>
      <c r="H57" s="11" t="s">
        <v>421</v>
      </c>
      <c r="I57" s="11" t="s">
        <v>232</v>
      </c>
      <c r="J57" s="11" t="s">
        <v>1763</v>
      </c>
    </row>
    <row r="58" spans="2:10" ht="27.6" x14ac:dyDescent="0.3">
      <c r="B58" s="72" t="s">
        <v>183</v>
      </c>
      <c r="C58" s="11" t="s">
        <v>228</v>
      </c>
      <c r="D58" s="11" t="s">
        <v>228</v>
      </c>
      <c r="E58" s="11" t="s">
        <v>2028</v>
      </c>
      <c r="F58" s="11" t="s">
        <v>228</v>
      </c>
      <c r="G58" s="11" t="s">
        <v>232</v>
      </c>
      <c r="H58" s="11" t="s">
        <v>421</v>
      </c>
      <c r="I58" s="11" t="s">
        <v>232</v>
      </c>
      <c r="J58" s="11" t="s">
        <v>450</v>
      </c>
    </row>
    <row r="59" spans="2:10" ht="124.2" x14ac:dyDescent="0.3">
      <c r="B59" s="72" t="s">
        <v>243</v>
      </c>
      <c r="C59" s="11" t="s">
        <v>2029</v>
      </c>
      <c r="D59" s="11" t="s">
        <v>2030</v>
      </c>
      <c r="E59" s="11" t="s">
        <v>2031</v>
      </c>
      <c r="F59" s="11" t="s">
        <v>2032</v>
      </c>
      <c r="G59" s="11" t="s">
        <v>2033</v>
      </c>
      <c r="H59" s="11" t="s">
        <v>2034</v>
      </c>
      <c r="I59" s="11" t="s">
        <v>2035</v>
      </c>
      <c r="J59" s="11" t="s">
        <v>2036</v>
      </c>
    </row>
    <row r="61" spans="2:10" ht="27.6" customHeight="1" x14ac:dyDescent="0.3">
      <c r="B61" s="76" t="s">
        <v>254</v>
      </c>
      <c r="C61" s="76"/>
      <c r="D61" s="76"/>
      <c r="E61" s="76"/>
      <c r="F61" s="76"/>
      <c r="G61" s="76"/>
      <c r="H61" s="76"/>
      <c r="I61" s="76"/>
      <c r="J61" s="76"/>
    </row>
    <row r="62" spans="2:10" x14ac:dyDescent="0.3">
      <c r="B62" s="72" t="s">
        <v>255</v>
      </c>
      <c r="C62" s="72" t="s">
        <v>167</v>
      </c>
      <c r="D62" s="72" t="s">
        <v>169</v>
      </c>
      <c r="E62" s="72" t="s">
        <v>171</v>
      </c>
      <c r="F62" s="72" t="s">
        <v>177</v>
      </c>
      <c r="G62" s="72" t="s">
        <v>179</v>
      </c>
      <c r="H62" s="72" t="s">
        <v>175</v>
      </c>
      <c r="I62" s="72" t="s">
        <v>181</v>
      </c>
      <c r="J62" s="72" t="s">
        <v>183</v>
      </c>
    </row>
    <row r="63" spans="2:10" x14ac:dyDescent="0.3">
      <c r="B63" s="11" t="s">
        <v>1692</v>
      </c>
      <c r="C63" s="11" t="s">
        <v>219</v>
      </c>
      <c r="D63" s="11" t="s">
        <v>1474</v>
      </c>
      <c r="E63" s="11" t="s">
        <v>232</v>
      </c>
      <c r="F63" s="11" t="s">
        <v>2010</v>
      </c>
      <c r="G63" s="11" t="s">
        <v>2016</v>
      </c>
      <c r="H63" s="11" t="s">
        <v>239</v>
      </c>
      <c r="I63" s="11" t="s">
        <v>966</v>
      </c>
      <c r="J63" s="11" t="s">
        <v>228</v>
      </c>
    </row>
    <row r="64" spans="2:10" x14ac:dyDescent="0.3">
      <c r="B64" s="11" t="s">
        <v>1695</v>
      </c>
      <c r="C64" s="11" t="s">
        <v>2037</v>
      </c>
      <c r="D64" s="11" t="s">
        <v>1474</v>
      </c>
      <c r="E64" s="11" t="s">
        <v>2038</v>
      </c>
      <c r="F64" s="11" t="s">
        <v>2011</v>
      </c>
      <c r="G64" s="11" t="s">
        <v>228</v>
      </c>
      <c r="H64" s="11" t="s">
        <v>2039</v>
      </c>
      <c r="I64" s="11" t="s">
        <v>966</v>
      </c>
      <c r="J64" s="11" t="s">
        <v>228</v>
      </c>
    </row>
    <row r="65" spans="2:10" x14ac:dyDescent="0.3">
      <c r="B65" s="11" t="s">
        <v>1698</v>
      </c>
      <c r="C65" s="11" t="s">
        <v>221</v>
      </c>
      <c r="D65" s="11" t="s">
        <v>221</v>
      </c>
      <c r="E65" s="11" t="s">
        <v>2040</v>
      </c>
      <c r="F65" s="11" t="s">
        <v>1888</v>
      </c>
      <c r="G65" s="11" t="s">
        <v>2041</v>
      </c>
      <c r="H65" s="11" t="s">
        <v>2025</v>
      </c>
      <c r="I65" s="11" t="s">
        <v>225</v>
      </c>
      <c r="J65" s="11" t="s">
        <v>465</v>
      </c>
    </row>
    <row r="66" spans="2:10" x14ac:dyDescent="0.3">
      <c r="B66" s="11" t="s">
        <v>1701</v>
      </c>
      <c r="C66" s="11" t="s">
        <v>277</v>
      </c>
      <c r="D66" s="11" t="s">
        <v>221</v>
      </c>
      <c r="E66" s="11" t="s">
        <v>232</v>
      </c>
      <c r="F66" s="11" t="s">
        <v>2042</v>
      </c>
      <c r="G66" s="11" t="s">
        <v>2018</v>
      </c>
      <c r="H66" s="11" t="s">
        <v>239</v>
      </c>
      <c r="I66" s="11" t="s">
        <v>450</v>
      </c>
      <c r="J66" s="11" t="s">
        <v>228</v>
      </c>
    </row>
    <row r="67" spans="2:10" x14ac:dyDescent="0.3">
      <c r="B67" s="11" t="s">
        <v>1704</v>
      </c>
      <c r="C67" s="11" t="s">
        <v>221</v>
      </c>
      <c r="D67" s="11" t="s">
        <v>221</v>
      </c>
      <c r="E67" s="11" t="s">
        <v>232</v>
      </c>
      <c r="F67" s="11" t="s">
        <v>2043</v>
      </c>
      <c r="G67" s="11" t="s">
        <v>2019</v>
      </c>
      <c r="H67" s="11" t="s">
        <v>225</v>
      </c>
      <c r="I67" s="11" t="s">
        <v>450</v>
      </c>
      <c r="J67" s="11" t="s">
        <v>232</v>
      </c>
    </row>
    <row r="68" spans="2:10" x14ac:dyDescent="0.3">
      <c r="B68" s="11" t="s">
        <v>1707</v>
      </c>
      <c r="C68" s="11" t="s">
        <v>224</v>
      </c>
      <c r="D68" s="11" t="s">
        <v>229</v>
      </c>
      <c r="E68" s="11" t="s">
        <v>232</v>
      </c>
      <c r="F68" s="11" t="s">
        <v>2044</v>
      </c>
      <c r="G68" s="11" t="s">
        <v>236</v>
      </c>
      <c r="H68" s="11" t="s">
        <v>421</v>
      </c>
      <c r="I68" s="11" t="s">
        <v>421</v>
      </c>
      <c r="J68" s="11" t="s">
        <v>421</v>
      </c>
    </row>
    <row r="69" spans="2:10" x14ac:dyDescent="0.3">
      <c r="B69" s="11" t="s">
        <v>1727</v>
      </c>
      <c r="C69" s="11" t="s">
        <v>223</v>
      </c>
      <c r="D69" s="11" t="s">
        <v>229</v>
      </c>
      <c r="E69" s="11" t="s">
        <v>232</v>
      </c>
      <c r="F69" s="11" t="s">
        <v>1888</v>
      </c>
      <c r="G69" s="11" t="s">
        <v>228</v>
      </c>
      <c r="H69" s="11" t="s">
        <v>2025</v>
      </c>
      <c r="I69" s="11" t="s">
        <v>232</v>
      </c>
      <c r="J69" s="11" t="s">
        <v>232</v>
      </c>
    </row>
    <row r="70" spans="2:10" x14ac:dyDescent="0.3">
      <c r="B70" s="11" t="s">
        <v>1728</v>
      </c>
      <c r="C70" s="11" t="s">
        <v>223</v>
      </c>
      <c r="D70" s="11" t="s">
        <v>229</v>
      </c>
      <c r="E70" s="11" t="s">
        <v>2045</v>
      </c>
      <c r="F70" s="11" t="s">
        <v>2046</v>
      </c>
      <c r="G70" s="11" t="s">
        <v>223</v>
      </c>
      <c r="H70" s="11" t="s">
        <v>225</v>
      </c>
      <c r="I70" s="11" t="s">
        <v>1763</v>
      </c>
      <c r="J70" s="11" t="s">
        <v>450</v>
      </c>
    </row>
    <row r="72" spans="2:10" x14ac:dyDescent="0.3">
      <c r="B72" s="58" t="s">
        <v>264</v>
      </c>
    </row>
    <row r="73" spans="2:10" x14ac:dyDescent="0.3">
      <c r="B73" s="77" t="s">
        <v>196</v>
      </c>
      <c r="C73" s="77" t="s">
        <v>1773</v>
      </c>
      <c r="D73" s="77" t="s">
        <v>1774</v>
      </c>
      <c r="E73" s="77" t="s">
        <v>1775</v>
      </c>
      <c r="F73" s="77" t="s">
        <v>1776</v>
      </c>
      <c r="G73" s="77" t="s">
        <v>1777</v>
      </c>
    </row>
    <row r="74" spans="2:10" ht="41.4" x14ac:dyDescent="0.3">
      <c r="B74" s="77" t="s">
        <v>130</v>
      </c>
      <c r="C74" s="78" t="s">
        <v>2047</v>
      </c>
      <c r="D74" s="78" t="s">
        <v>2048</v>
      </c>
      <c r="E74" s="78" t="s">
        <v>2049</v>
      </c>
      <c r="F74" s="78" t="s">
        <v>2050</v>
      </c>
      <c r="G74" s="78" t="s">
        <v>2051</v>
      </c>
    </row>
    <row r="75" spans="2:10" ht="124.2" x14ac:dyDescent="0.3">
      <c r="B75" s="72" t="s">
        <v>208</v>
      </c>
      <c r="C75" s="11" t="s">
        <v>2052</v>
      </c>
      <c r="D75" s="11" t="s">
        <v>2053</v>
      </c>
      <c r="E75" s="11" t="s">
        <v>2054</v>
      </c>
      <c r="F75" s="11" t="s">
        <v>2055</v>
      </c>
      <c r="G75" s="11" t="s">
        <v>2056</v>
      </c>
    </row>
    <row r="76" spans="2:10" ht="27.6" x14ac:dyDescent="0.3">
      <c r="B76" s="72" t="s">
        <v>167</v>
      </c>
      <c r="C76" s="11" t="s">
        <v>2057</v>
      </c>
      <c r="D76" s="11" t="s">
        <v>1914</v>
      </c>
      <c r="E76" s="11" t="s">
        <v>221</v>
      </c>
      <c r="F76" s="11" t="s">
        <v>277</v>
      </c>
      <c r="G76" s="11" t="s">
        <v>2058</v>
      </c>
    </row>
    <row r="77" spans="2:10" x14ac:dyDescent="0.3">
      <c r="B77" s="72" t="s">
        <v>169</v>
      </c>
      <c r="C77" s="11" t="s">
        <v>221</v>
      </c>
      <c r="D77" s="11" t="s">
        <v>221</v>
      </c>
      <c r="E77" s="11" t="s">
        <v>221</v>
      </c>
      <c r="F77" s="11" t="s">
        <v>221</v>
      </c>
      <c r="G77" s="11" t="s">
        <v>221</v>
      </c>
    </row>
    <row r="78" spans="2:10" x14ac:dyDescent="0.3">
      <c r="B78" s="72" t="s">
        <v>231</v>
      </c>
      <c r="C78" s="11" t="s">
        <v>232</v>
      </c>
      <c r="D78" s="11" t="s">
        <v>232</v>
      </c>
      <c r="E78" s="11" t="s">
        <v>232</v>
      </c>
      <c r="F78" s="11" t="s">
        <v>232</v>
      </c>
      <c r="G78" s="11" t="s">
        <v>232</v>
      </c>
    </row>
    <row r="79" spans="2:10" ht="27.6" x14ac:dyDescent="0.3">
      <c r="B79" s="72" t="s">
        <v>177</v>
      </c>
      <c r="C79" s="11" t="s">
        <v>2059</v>
      </c>
      <c r="D79" s="11" t="s">
        <v>2060</v>
      </c>
      <c r="E79" s="11" t="s">
        <v>2059</v>
      </c>
      <c r="F79" s="11" t="s">
        <v>2061</v>
      </c>
      <c r="G79" s="11" t="s">
        <v>2062</v>
      </c>
    </row>
    <row r="80" spans="2:10" ht="27.6" x14ac:dyDescent="0.3">
      <c r="B80" s="72" t="s">
        <v>179</v>
      </c>
      <c r="C80" s="11" t="s">
        <v>2018</v>
      </c>
      <c r="D80" s="11" t="s">
        <v>2063</v>
      </c>
      <c r="E80" s="11" t="s">
        <v>223</v>
      </c>
      <c r="F80" s="11" t="s">
        <v>2064</v>
      </c>
      <c r="G80" s="11" t="s">
        <v>2065</v>
      </c>
    </row>
    <row r="81" spans="2:10" x14ac:dyDescent="0.3">
      <c r="B81" s="72" t="s">
        <v>238</v>
      </c>
      <c r="C81" s="11" t="s">
        <v>225</v>
      </c>
      <c r="D81" s="11" t="s">
        <v>2066</v>
      </c>
      <c r="E81" s="11" t="s">
        <v>225</v>
      </c>
      <c r="F81" s="11" t="s">
        <v>225</v>
      </c>
      <c r="G81" s="11" t="s">
        <v>225</v>
      </c>
    </row>
    <row r="82" spans="2:10" x14ac:dyDescent="0.3">
      <c r="B82" s="72" t="s">
        <v>181</v>
      </c>
      <c r="C82" s="11" t="s">
        <v>450</v>
      </c>
      <c r="D82" s="11" t="s">
        <v>450</v>
      </c>
      <c r="E82" s="11" t="s">
        <v>1763</v>
      </c>
      <c r="F82" s="11" t="s">
        <v>232</v>
      </c>
      <c r="G82" s="11" t="s">
        <v>1763</v>
      </c>
    </row>
    <row r="83" spans="2:10" x14ac:dyDescent="0.3">
      <c r="B83" s="72" t="s">
        <v>183</v>
      </c>
      <c r="C83" s="11" t="s">
        <v>232</v>
      </c>
      <c r="D83" s="11" t="s">
        <v>232</v>
      </c>
      <c r="E83" s="11" t="s">
        <v>450</v>
      </c>
      <c r="F83" s="11" t="s">
        <v>219</v>
      </c>
      <c r="G83" s="11" t="s">
        <v>450</v>
      </c>
    </row>
    <row r="84" spans="2:10" ht="124.2" x14ac:dyDescent="0.3">
      <c r="B84" s="72" t="s">
        <v>243</v>
      </c>
      <c r="C84" s="11" t="s">
        <v>2067</v>
      </c>
      <c r="D84" s="11" t="s">
        <v>2068</v>
      </c>
      <c r="E84" s="11" t="s">
        <v>2069</v>
      </c>
      <c r="F84" s="11" t="s">
        <v>2070</v>
      </c>
      <c r="G84" s="11" t="s">
        <v>2071</v>
      </c>
    </row>
    <row r="86" spans="2:10" x14ac:dyDescent="0.3">
      <c r="B86" s="76" t="s">
        <v>287</v>
      </c>
      <c r="C86" s="76"/>
      <c r="D86" s="76"/>
      <c r="E86" s="76"/>
      <c r="F86" s="76"/>
      <c r="G86" s="76"/>
      <c r="H86" s="76"/>
      <c r="I86" s="76"/>
      <c r="J86" s="76"/>
    </row>
    <row r="87" spans="2:10" x14ac:dyDescent="0.3">
      <c r="B87" s="72" t="s">
        <v>255</v>
      </c>
      <c r="C87" s="72" t="s">
        <v>167</v>
      </c>
      <c r="D87" s="72" t="s">
        <v>169</v>
      </c>
      <c r="E87" s="72" t="s">
        <v>171</v>
      </c>
      <c r="F87" s="72" t="s">
        <v>177</v>
      </c>
      <c r="G87" s="72" t="s">
        <v>179</v>
      </c>
      <c r="H87" s="72" t="s">
        <v>175</v>
      </c>
      <c r="I87" s="72" t="s">
        <v>181</v>
      </c>
      <c r="J87" s="72" t="s">
        <v>183</v>
      </c>
    </row>
    <row r="88" spans="2:10" x14ac:dyDescent="0.3">
      <c r="B88" s="11" t="s">
        <v>1773</v>
      </c>
      <c r="C88" s="11" t="s">
        <v>221</v>
      </c>
      <c r="D88" s="11" t="s">
        <v>221</v>
      </c>
      <c r="E88" s="11" t="s">
        <v>232</v>
      </c>
      <c r="F88" s="11" t="s">
        <v>2072</v>
      </c>
      <c r="G88" s="11" t="s">
        <v>223</v>
      </c>
      <c r="H88" s="11" t="s">
        <v>225</v>
      </c>
      <c r="I88" s="11" t="s">
        <v>450</v>
      </c>
      <c r="J88" s="11" t="s">
        <v>232</v>
      </c>
    </row>
    <row r="89" spans="2:10" x14ac:dyDescent="0.3">
      <c r="B89" s="11" t="s">
        <v>1774</v>
      </c>
      <c r="C89" s="11" t="s">
        <v>219</v>
      </c>
      <c r="D89" s="11" t="s">
        <v>221</v>
      </c>
      <c r="E89" s="11" t="s">
        <v>232</v>
      </c>
      <c r="F89" s="11" t="s">
        <v>2060</v>
      </c>
      <c r="G89" s="11" t="s">
        <v>239</v>
      </c>
      <c r="H89" s="11" t="s">
        <v>225</v>
      </c>
      <c r="I89" s="11" t="s">
        <v>450</v>
      </c>
      <c r="J89" s="11" t="s">
        <v>232</v>
      </c>
    </row>
    <row r="90" spans="2:10" x14ac:dyDescent="0.3">
      <c r="B90" s="11" t="s">
        <v>1775</v>
      </c>
      <c r="C90" s="11" t="s">
        <v>221</v>
      </c>
      <c r="D90" s="11" t="s">
        <v>221</v>
      </c>
      <c r="E90" s="11" t="s">
        <v>232</v>
      </c>
      <c r="F90" s="11" t="s">
        <v>2072</v>
      </c>
      <c r="G90" s="11" t="s">
        <v>223</v>
      </c>
      <c r="H90" s="11" t="s">
        <v>225</v>
      </c>
      <c r="I90" s="11" t="s">
        <v>1763</v>
      </c>
      <c r="J90" s="11" t="s">
        <v>450</v>
      </c>
    </row>
    <row r="91" spans="2:10" x14ac:dyDescent="0.3">
      <c r="B91" s="11" t="s">
        <v>1776</v>
      </c>
      <c r="C91" s="11" t="s">
        <v>277</v>
      </c>
      <c r="D91" s="11" t="s">
        <v>221</v>
      </c>
      <c r="E91" s="11" t="s">
        <v>232</v>
      </c>
      <c r="F91" s="11" t="s">
        <v>2061</v>
      </c>
      <c r="G91" s="11" t="s">
        <v>223</v>
      </c>
      <c r="H91" s="11" t="s">
        <v>225</v>
      </c>
      <c r="I91" s="11" t="s">
        <v>232</v>
      </c>
      <c r="J91" s="11" t="s">
        <v>219</v>
      </c>
    </row>
    <row r="92" spans="2:10" x14ac:dyDescent="0.3">
      <c r="B92" s="11" t="s">
        <v>1777</v>
      </c>
      <c r="C92" s="11" t="s">
        <v>277</v>
      </c>
      <c r="D92" s="11" t="s">
        <v>221</v>
      </c>
      <c r="E92" s="11" t="s">
        <v>232</v>
      </c>
      <c r="F92" s="11" t="s">
        <v>2073</v>
      </c>
      <c r="G92" s="11" t="s">
        <v>2074</v>
      </c>
      <c r="H92" s="11" t="s">
        <v>225</v>
      </c>
      <c r="I92" s="11" t="s">
        <v>1763</v>
      </c>
      <c r="J92" s="11" t="s">
        <v>450</v>
      </c>
    </row>
    <row r="94" spans="2:10" x14ac:dyDescent="0.3">
      <c r="B94" s="76" t="s">
        <v>288</v>
      </c>
      <c r="C94" s="76"/>
      <c r="D94" s="76"/>
      <c r="E94" s="76"/>
      <c r="F94" s="76"/>
      <c r="G94" s="76"/>
      <c r="H94" s="76"/>
      <c r="I94" s="76"/>
      <c r="J94" s="76"/>
    </row>
    <row r="95" spans="2:10" x14ac:dyDescent="0.3">
      <c r="B95" s="72" t="s">
        <v>289</v>
      </c>
      <c r="C95" s="72" t="s">
        <v>167</v>
      </c>
      <c r="D95" s="72" t="s">
        <v>169</v>
      </c>
      <c r="E95" s="72" t="s">
        <v>171</v>
      </c>
      <c r="F95" s="72" t="s">
        <v>177</v>
      </c>
      <c r="G95" s="72" t="s">
        <v>179</v>
      </c>
      <c r="H95" s="72" t="s">
        <v>175</v>
      </c>
      <c r="I95" s="72" t="s">
        <v>181</v>
      </c>
      <c r="J95" s="72" t="s">
        <v>183</v>
      </c>
    </row>
    <row r="96" spans="2:10" x14ac:dyDescent="0.3">
      <c r="B96" s="11" t="s">
        <v>1692</v>
      </c>
      <c r="C96" s="11" t="s">
        <v>2075</v>
      </c>
      <c r="D96" s="11" t="s">
        <v>2076</v>
      </c>
      <c r="E96" s="11" t="s">
        <v>2077</v>
      </c>
      <c r="F96" s="11" t="s">
        <v>2078</v>
      </c>
      <c r="G96" s="11" t="s">
        <v>223</v>
      </c>
      <c r="H96" s="11" t="s">
        <v>2079</v>
      </c>
      <c r="I96" s="11" t="s">
        <v>2038</v>
      </c>
      <c r="J96" s="11" t="s">
        <v>219</v>
      </c>
    </row>
    <row r="97" spans="2:10" x14ac:dyDescent="0.3">
      <c r="B97" s="11" t="s">
        <v>1695</v>
      </c>
      <c r="C97" s="11" t="s">
        <v>2080</v>
      </c>
      <c r="D97" s="11" t="s">
        <v>2081</v>
      </c>
      <c r="E97" s="11" t="s">
        <v>2082</v>
      </c>
      <c r="F97" s="11" t="s">
        <v>2083</v>
      </c>
      <c r="G97" s="11" t="s">
        <v>2084</v>
      </c>
      <c r="H97" s="11" t="s">
        <v>2085</v>
      </c>
      <c r="I97" s="11" t="s">
        <v>2086</v>
      </c>
      <c r="J97" s="11" t="s">
        <v>2087</v>
      </c>
    </row>
    <row r="98" spans="2:10" x14ac:dyDescent="0.3">
      <c r="B98" s="11" t="s">
        <v>1698</v>
      </c>
      <c r="C98" s="11" t="s">
        <v>2088</v>
      </c>
      <c r="D98" s="11" t="s">
        <v>2041</v>
      </c>
      <c r="E98" s="11" t="s">
        <v>2089</v>
      </c>
      <c r="F98" s="11" t="s">
        <v>2090</v>
      </c>
      <c r="G98" s="11" t="s">
        <v>2091</v>
      </c>
      <c r="H98" s="11" t="s">
        <v>2025</v>
      </c>
      <c r="I98" s="11" t="s">
        <v>2092</v>
      </c>
      <c r="J98" s="11" t="s">
        <v>2087</v>
      </c>
    </row>
    <row r="100" spans="2:10" x14ac:dyDescent="0.3">
      <c r="B100" s="76" t="s">
        <v>306</v>
      </c>
      <c r="C100" s="76"/>
      <c r="D100" s="76"/>
      <c r="E100" s="76"/>
      <c r="F100" s="76"/>
      <c r="G100" s="76"/>
      <c r="H100" s="76"/>
    </row>
    <row r="101" spans="2:10" x14ac:dyDescent="0.3">
      <c r="B101" s="77" t="s">
        <v>255</v>
      </c>
      <c r="C101" s="77" t="s">
        <v>167</v>
      </c>
      <c r="D101" s="77" t="s">
        <v>307</v>
      </c>
      <c r="E101" s="77" t="s">
        <v>308</v>
      </c>
      <c r="F101" s="77" t="s">
        <v>309</v>
      </c>
      <c r="G101" s="77" t="s">
        <v>181</v>
      </c>
      <c r="H101" s="77" t="s">
        <v>310</v>
      </c>
    </row>
    <row r="102" spans="2:10" x14ac:dyDescent="0.3">
      <c r="B102" s="11">
        <v>1</v>
      </c>
      <c r="C102" s="11">
        <v>5</v>
      </c>
      <c r="D102" s="11">
        <v>4</v>
      </c>
      <c r="E102" s="11">
        <v>4</v>
      </c>
      <c r="F102" s="11">
        <v>4</v>
      </c>
      <c r="G102" s="11">
        <v>4</v>
      </c>
      <c r="H102" s="80">
        <f t="shared" ref="H102:H109" si="0">AVERAGE(C102:G102)</f>
        <v>4.2</v>
      </c>
    </row>
    <row r="103" spans="2:10" x14ac:dyDescent="0.3">
      <c r="B103" s="11">
        <v>2</v>
      </c>
      <c r="C103" s="11">
        <v>4</v>
      </c>
      <c r="D103" s="11">
        <v>4</v>
      </c>
      <c r="E103" s="11">
        <v>4</v>
      </c>
      <c r="F103" s="11">
        <v>4</v>
      </c>
      <c r="G103" s="11">
        <v>4</v>
      </c>
      <c r="H103" s="80">
        <f t="shared" si="0"/>
        <v>4</v>
      </c>
    </row>
    <row r="104" spans="2:10" x14ac:dyDescent="0.3">
      <c r="B104" s="11">
        <v>3</v>
      </c>
      <c r="C104" s="11">
        <v>3</v>
      </c>
      <c r="D104" s="11">
        <v>4</v>
      </c>
      <c r="E104" s="11">
        <v>4</v>
      </c>
      <c r="F104" s="11">
        <v>3</v>
      </c>
      <c r="G104" s="11">
        <v>5</v>
      </c>
      <c r="H104" s="80">
        <f t="shared" si="0"/>
        <v>3.8</v>
      </c>
    </row>
    <row r="105" spans="2:10" x14ac:dyDescent="0.3">
      <c r="B105" s="11">
        <v>4</v>
      </c>
      <c r="C105" s="11">
        <v>4</v>
      </c>
      <c r="D105" s="11">
        <v>4</v>
      </c>
      <c r="E105" s="11">
        <v>4</v>
      </c>
      <c r="F105" s="11">
        <v>4</v>
      </c>
      <c r="G105" s="11">
        <v>4</v>
      </c>
      <c r="H105" s="80">
        <f t="shared" si="0"/>
        <v>4</v>
      </c>
    </row>
    <row r="106" spans="2:10" x14ac:dyDescent="0.3">
      <c r="B106" s="11">
        <v>5</v>
      </c>
      <c r="C106" s="11">
        <v>4</v>
      </c>
      <c r="D106" s="11">
        <v>3</v>
      </c>
      <c r="E106" s="11">
        <v>4</v>
      </c>
      <c r="F106" s="11">
        <v>3</v>
      </c>
      <c r="G106" s="11">
        <v>3</v>
      </c>
      <c r="H106" s="80">
        <f t="shared" si="0"/>
        <v>3.4</v>
      </c>
    </row>
    <row r="107" spans="2:10" x14ac:dyDescent="0.3">
      <c r="B107" s="11">
        <v>6</v>
      </c>
      <c r="C107" s="11">
        <v>2</v>
      </c>
      <c r="D107" s="11">
        <v>4</v>
      </c>
      <c r="E107" s="11">
        <v>3</v>
      </c>
      <c r="F107" s="11">
        <v>2</v>
      </c>
      <c r="G107" s="11">
        <v>5</v>
      </c>
      <c r="H107" s="80">
        <f t="shared" si="0"/>
        <v>3.2</v>
      </c>
    </row>
    <row r="108" spans="2:10" x14ac:dyDescent="0.3">
      <c r="B108" s="11">
        <v>7</v>
      </c>
      <c r="C108" s="11">
        <v>4</v>
      </c>
      <c r="D108" s="11">
        <v>4</v>
      </c>
      <c r="E108" s="11">
        <v>4</v>
      </c>
      <c r="F108" s="11">
        <v>3</v>
      </c>
      <c r="G108" s="11">
        <v>5</v>
      </c>
      <c r="H108" s="80">
        <f t="shared" si="0"/>
        <v>4</v>
      </c>
    </row>
    <row r="109" spans="2:10" x14ac:dyDescent="0.3">
      <c r="B109" s="11">
        <v>8</v>
      </c>
      <c r="C109" s="11">
        <v>3</v>
      </c>
      <c r="D109" s="11">
        <v>3</v>
      </c>
      <c r="E109" s="11">
        <v>4</v>
      </c>
      <c r="F109" s="11">
        <v>4</v>
      </c>
      <c r="G109" s="11">
        <v>3</v>
      </c>
      <c r="H109" s="80">
        <f t="shared" si="0"/>
        <v>3.4</v>
      </c>
    </row>
  </sheetData>
  <mergeCells count="9">
    <mergeCell ref="B86:J86"/>
    <mergeCell ref="B94:J94"/>
    <mergeCell ref="B100:H100"/>
    <mergeCell ref="B1:C1"/>
    <mergeCell ref="B10:C10"/>
    <mergeCell ref="B17:D17"/>
    <mergeCell ref="B26:C26"/>
    <mergeCell ref="B39:C39"/>
    <mergeCell ref="B61:J6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J111"/>
  <sheetViews>
    <sheetView topLeftCell="A84" zoomScale="76" zoomScaleNormal="100" workbookViewId="0">
      <selection activeCell="B104" sqref="B104:B111"/>
    </sheetView>
  </sheetViews>
  <sheetFormatPr defaultColWidth="8.5546875" defaultRowHeight="14.4" x14ac:dyDescent="0.3"/>
  <cols>
    <col min="1" max="1" width="4" customWidth="1"/>
    <col min="2" max="2" width="35" customWidth="1"/>
    <col min="3" max="3" width="50" customWidth="1"/>
    <col min="4" max="13" width="22" customWidth="1"/>
    <col min="14" max="16" width="18" customWidth="1"/>
  </cols>
  <sheetData>
    <row r="1" spans="2:3" x14ac:dyDescent="0.3">
      <c r="B1" s="76" t="s">
        <v>130</v>
      </c>
      <c r="C1" s="76"/>
    </row>
    <row r="2" spans="2:3" x14ac:dyDescent="0.3">
      <c r="B2" s="72" t="s">
        <v>131</v>
      </c>
      <c r="C2" s="11" t="s">
        <v>102</v>
      </c>
    </row>
    <row r="3" spans="2:3" ht="27.6" x14ac:dyDescent="0.3">
      <c r="B3" s="72" t="s">
        <v>132</v>
      </c>
      <c r="C3" s="11" t="s">
        <v>2093</v>
      </c>
    </row>
    <row r="4" spans="2:3" x14ac:dyDescent="0.3">
      <c r="B4" s="72" t="s">
        <v>134</v>
      </c>
      <c r="C4" s="11" t="s">
        <v>103</v>
      </c>
    </row>
    <row r="5" spans="2:3" ht="69" x14ac:dyDescent="0.3">
      <c r="B5" s="72" t="s">
        <v>136</v>
      </c>
      <c r="C5" s="11" t="s">
        <v>2094</v>
      </c>
    </row>
    <row r="6" spans="2:3" x14ac:dyDescent="0.3">
      <c r="B6" s="72" t="s">
        <v>138</v>
      </c>
      <c r="C6" s="11" t="s">
        <v>139</v>
      </c>
    </row>
    <row r="7" spans="2:3" ht="96.6" x14ac:dyDescent="0.3">
      <c r="B7" s="72" t="s">
        <v>140</v>
      </c>
      <c r="C7" s="11" t="s">
        <v>2095</v>
      </c>
    </row>
    <row r="9" spans="2:3" x14ac:dyDescent="0.3">
      <c r="B9" s="58" t="s">
        <v>142</v>
      </c>
    </row>
    <row r="10" spans="2:3" x14ac:dyDescent="0.3">
      <c r="B10" s="76" t="s">
        <v>143</v>
      </c>
      <c r="C10" s="76"/>
    </row>
    <row r="11" spans="2:3" ht="69" x14ac:dyDescent="0.3">
      <c r="B11" s="72" t="s">
        <v>2096</v>
      </c>
      <c r="C11" s="11" t="s">
        <v>2097</v>
      </c>
    </row>
    <row r="12" spans="2:3" ht="96.6" x14ac:dyDescent="0.3">
      <c r="B12" s="72" t="s">
        <v>2098</v>
      </c>
      <c r="C12" s="11" t="s">
        <v>2099</v>
      </c>
    </row>
    <row r="13" spans="2:3" ht="69" x14ac:dyDescent="0.3">
      <c r="B13" s="72" t="s">
        <v>2100</v>
      </c>
      <c r="C13" s="11" t="s">
        <v>2101</v>
      </c>
    </row>
    <row r="14" spans="2:3" ht="69" x14ac:dyDescent="0.3">
      <c r="B14" s="72" t="s">
        <v>2102</v>
      </c>
      <c r="C14" s="11" t="s">
        <v>2103</v>
      </c>
    </row>
    <row r="15" spans="2:3" ht="69" x14ac:dyDescent="0.3">
      <c r="B15" s="72" t="s">
        <v>2104</v>
      </c>
      <c r="C15" s="11" t="s">
        <v>2105</v>
      </c>
    </row>
    <row r="17" spans="2:4" x14ac:dyDescent="0.3">
      <c r="B17" s="76" t="s">
        <v>152</v>
      </c>
      <c r="C17" s="76"/>
      <c r="D17" s="76"/>
    </row>
    <row r="18" spans="2:4" x14ac:dyDescent="0.3">
      <c r="B18" s="72" t="s">
        <v>153</v>
      </c>
      <c r="C18" s="72" t="s">
        <v>154</v>
      </c>
      <c r="D18" s="72" t="s">
        <v>155</v>
      </c>
    </row>
    <row r="19" spans="2:4" ht="27.6" x14ac:dyDescent="0.3">
      <c r="B19" s="11" t="s">
        <v>1692</v>
      </c>
      <c r="C19" s="11" t="s">
        <v>2106</v>
      </c>
      <c r="D19" s="11" t="s">
        <v>2107</v>
      </c>
    </row>
    <row r="20" spans="2:4" ht="27.6" x14ac:dyDescent="0.3">
      <c r="B20" s="11" t="s">
        <v>1695</v>
      </c>
      <c r="C20" s="11" t="s">
        <v>2108</v>
      </c>
      <c r="D20" s="11" t="s">
        <v>2109</v>
      </c>
    </row>
    <row r="21" spans="2:4" ht="27.6" x14ac:dyDescent="0.3">
      <c r="B21" s="11" t="s">
        <v>1698</v>
      </c>
      <c r="C21" s="11" t="s">
        <v>2110</v>
      </c>
      <c r="D21" s="11" t="s">
        <v>2111</v>
      </c>
    </row>
    <row r="22" spans="2:4" ht="27.6" x14ac:dyDescent="0.3">
      <c r="B22" s="11" t="s">
        <v>1701</v>
      </c>
      <c r="C22" s="11" t="s">
        <v>2112</v>
      </c>
      <c r="D22" s="11" t="s">
        <v>2113</v>
      </c>
    </row>
    <row r="23" spans="2:4" ht="27.6" x14ac:dyDescent="0.3">
      <c r="B23" s="11" t="s">
        <v>1704</v>
      </c>
      <c r="C23" s="11" t="s">
        <v>2114</v>
      </c>
      <c r="D23" s="11" t="s">
        <v>2115</v>
      </c>
    </row>
    <row r="24" spans="2:4" ht="27.6" x14ac:dyDescent="0.3">
      <c r="B24" s="11" t="s">
        <v>1707</v>
      </c>
      <c r="C24" s="11" t="s">
        <v>2116</v>
      </c>
      <c r="D24" s="11" t="s">
        <v>2117</v>
      </c>
    </row>
    <row r="26" spans="2:4" x14ac:dyDescent="0.3">
      <c r="B26" s="76" t="s">
        <v>164</v>
      </c>
      <c r="C26" s="76"/>
    </row>
    <row r="27" spans="2:4" x14ac:dyDescent="0.3">
      <c r="B27" s="72" t="s">
        <v>165</v>
      </c>
      <c r="C27" s="72" t="s">
        <v>166</v>
      </c>
    </row>
    <row r="28" spans="2:4" ht="55.2" x14ac:dyDescent="0.3">
      <c r="B28" s="72" t="s">
        <v>167</v>
      </c>
      <c r="C28" s="11" t="s">
        <v>2118</v>
      </c>
    </row>
    <row r="29" spans="2:4" ht="69" x14ac:dyDescent="0.3">
      <c r="B29" s="72" t="s">
        <v>169</v>
      </c>
      <c r="C29" s="11" t="s">
        <v>2119</v>
      </c>
    </row>
    <row r="30" spans="2:4" ht="55.2" x14ac:dyDescent="0.3">
      <c r="B30" s="72" t="s">
        <v>171</v>
      </c>
      <c r="C30" s="11" t="s">
        <v>2120</v>
      </c>
    </row>
    <row r="31" spans="2:4" ht="55.2" x14ac:dyDescent="0.3">
      <c r="B31" s="72" t="s">
        <v>173</v>
      </c>
      <c r="C31" s="11" t="s">
        <v>2121</v>
      </c>
    </row>
    <row r="32" spans="2:4" ht="55.2" x14ac:dyDescent="0.3">
      <c r="B32" s="72" t="s">
        <v>175</v>
      </c>
      <c r="C32" s="11" t="s">
        <v>2122</v>
      </c>
    </row>
    <row r="33" spans="2:10" ht="55.2" x14ac:dyDescent="0.3">
      <c r="B33" s="72" t="s">
        <v>177</v>
      </c>
      <c r="C33" s="11" t="s">
        <v>2123</v>
      </c>
    </row>
    <row r="34" spans="2:10" ht="55.2" x14ac:dyDescent="0.3">
      <c r="B34" s="72" t="s">
        <v>179</v>
      </c>
      <c r="C34" s="11" t="s">
        <v>2124</v>
      </c>
    </row>
    <row r="35" spans="2:10" ht="55.2" x14ac:dyDescent="0.3">
      <c r="B35" s="72" t="s">
        <v>181</v>
      </c>
      <c r="C35" s="11" t="s">
        <v>2125</v>
      </c>
    </row>
    <row r="36" spans="2:10" ht="41.4" x14ac:dyDescent="0.3">
      <c r="B36" s="72" t="s">
        <v>183</v>
      </c>
      <c r="C36" s="11" t="s">
        <v>2126</v>
      </c>
    </row>
    <row r="38" spans="2:10" x14ac:dyDescent="0.3">
      <c r="B38" s="58" t="s">
        <v>185</v>
      </c>
    </row>
    <row r="39" spans="2:10" x14ac:dyDescent="0.3">
      <c r="B39" s="76" t="s">
        <v>186</v>
      </c>
      <c r="C39" s="76"/>
    </row>
    <row r="40" spans="2:10" ht="69" x14ac:dyDescent="0.3">
      <c r="B40" s="72" t="s">
        <v>187</v>
      </c>
      <c r="C40" s="11" t="s">
        <v>2127</v>
      </c>
    </row>
    <row r="41" spans="2:10" ht="82.8" x14ac:dyDescent="0.3">
      <c r="B41" s="72" t="s">
        <v>2128</v>
      </c>
      <c r="C41" s="11" t="s">
        <v>2129</v>
      </c>
    </row>
    <row r="42" spans="2:10" ht="82.8" x14ac:dyDescent="0.3">
      <c r="B42" s="72" t="s">
        <v>2130</v>
      </c>
      <c r="C42" s="11" t="s">
        <v>2131</v>
      </c>
    </row>
    <row r="43" spans="2:10" ht="110.4" x14ac:dyDescent="0.3">
      <c r="B43" s="72" t="s">
        <v>2132</v>
      </c>
      <c r="C43" s="11" t="s">
        <v>2133</v>
      </c>
    </row>
    <row r="44" spans="2:10" ht="96.6" x14ac:dyDescent="0.3">
      <c r="B44" s="72" t="s">
        <v>2134</v>
      </c>
      <c r="C44" s="11" t="s">
        <v>2135</v>
      </c>
    </row>
    <row r="45" spans="2:10" ht="82.8" x14ac:dyDescent="0.3">
      <c r="B45" s="72" t="s">
        <v>2136</v>
      </c>
      <c r="C45" s="11" t="s">
        <v>2137</v>
      </c>
    </row>
    <row r="47" spans="2:10" x14ac:dyDescent="0.3">
      <c r="B47" s="58" t="s">
        <v>195</v>
      </c>
    </row>
    <row r="48" spans="2:10" x14ac:dyDescent="0.3">
      <c r="B48" s="77" t="s">
        <v>196</v>
      </c>
      <c r="C48" s="77" t="s">
        <v>1692</v>
      </c>
      <c r="D48" s="77" t="s">
        <v>1695</v>
      </c>
      <c r="E48" s="77" t="s">
        <v>1698</v>
      </c>
      <c r="F48" s="77" t="s">
        <v>1701</v>
      </c>
      <c r="G48" s="77" t="s">
        <v>1704</v>
      </c>
      <c r="H48" s="77" t="s">
        <v>1707</v>
      </c>
      <c r="I48" s="77" t="s">
        <v>1727</v>
      </c>
      <c r="J48" s="77" t="s">
        <v>1728</v>
      </c>
    </row>
    <row r="49" spans="2:10" ht="41.4" x14ac:dyDescent="0.3">
      <c r="B49" s="77" t="s">
        <v>130</v>
      </c>
      <c r="C49" s="78" t="s">
        <v>2138</v>
      </c>
      <c r="D49" s="78" t="s">
        <v>2139</v>
      </c>
      <c r="E49" s="78" t="s">
        <v>2140</v>
      </c>
      <c r="F49" s="78" t="s">
        <v>2141</v>
      </c>
      <c r="G49" s="78" t="s">
        <v>2142</v>
      </c>
      <c r="H49" s="78" t="s">
        <v>2143</v>
      </c>
      <c r="I49" s="78" t="s">
        <v>2144</v>
      </c>
      <c r="J49" s="78" t="s">
        <v>2145</v>
      </c>
    </row>
    <row r="50" spans="2:10" ht="138" x14ac:dyDescent="0.3">
      <c r="B50" s="72" t="s">
        <v>208</v>
      </c>
      <c r="C50" s="11" t="s">
        <v>2146</v>
      </c>
      <c r="D50" s="11" t="s">
        <v>2147</v>
      </c>
      <c r="E50" s="11" t="s">
        <v>2148</v>
      </c>
      <c r="F50" s="11" t="s">
        <v>2149</v>
      </c>
      <c r="G50" s="11" t="s">
        <v>2150</v>
      </c>
      <c r="H50" s="11" t="s">
        <v>2151</v>
      </c>
      <c r="I50" s="11" t="s">
        <v>2152</v>
      </c>
      <c r="J50" s="11" t="s">
        <v>2153</v>
      </c>
    </row>
    <row r="51" spans="2:10" ht="27.6" x14ac:dyDescent="0.3">
      <c r="B51" s="72" t="s">
        <v>167</v>
      </c>
      <c r="C51" s="11" t="s">
        <v>2154</v>
      </c>
      <c r="D51" s="11" t="s">
        <v>221</v>
      </c>
      <c r="E51" s="11" t="s">
        <v>2155</v>
      </c>
      <c r="F51" s="11" t="s">
        <v>2156</v>
      </c>
      <c r="G51" s="11" t="s">
        <v>2157</v>
      </c>
      <c r="H51" s="11" t="s">
        <v>2158</v>
      </c>
      <c r="I51" s="11" t="s">
        <v>2159</v>
      </c>
      <c r="J51" s="11" t="s">
        <v>2160</v>
      </c>
    </row>
    <row r="52" spans="2:10" x14ac:dyDescent="0.3">
      <c r="B52" s="72" t="s">
        <v>169</v>
      </c>
      <c r="C52" s="11" t="s">
        <v>1471</v>
      </c>
      <c r="D52" s="11" t="s">
        <v>2161</v>
      </c>
      <c r="E52" s="11" t="s">
        <v>2162</v>
      </c>
      <c r="F52" s="11" t="s">
        <v>2163</v>
      </c>
      <c r="G52" s="11" t="s">
        <v>2164</v>
      </c>
      <c r="H52" s="11" t="s">
        <v>2165</v>
      </c>
      <c r="I52" s="11" t="s">
        <v>2166</v>
      </c>
      <c r="J52" s="11" t="s">
        <v>2167</v>
      </c>
    </row>
    <row r="53" spans="2:10" x14ac:dyDescent="0.3">
      <c r="B53" s="72" t="s">
        <v>231</v>
      </c>
      <c r="C53" s="11" t="s">
        <v>1753</v>
      </c>
      <c r="D53" s="11" t="s">
        <v>232</v>
      </c>
      <c r="E53" s="11" t="s">
        <v>2168</v>
      </c>
      <c r="F53" s="11" t="s">
        <v>232</v>
      </c>
      <c r="G53" s="11" t="s">
        <v>232</v>
      </c>
      <c r="H53" s="11" t="s">
        <v>2169</v>
      </c>
      <c r="I53" s="11" t="s">
        <v>232</v>
      </c>
      <c r="J53" s="11" t="s">
        <v>232</v>
      </c>
    </row>
    <row r="54" spans="2:10" ht="27.6" x14ac:dyDescent="0.3">
      <c r="B54" s="72" t="s">
        <v>177</v>
      </c>
      <c r="C54" s="11" t="s">
        <v>1888</v>
      </c>
      <c r="D54" s="11" t="s">
        <v>2170</v>
      </c>
      <c r="E54" s="11" t="s">
        <v>2171</v>
      </c>
      <c r="F54" s="11" t="s">
        <v>2172</v>
      </c>
      <c r="G54" s="11" t="s">
        <v>2173</v>
      </c>
      <c r="H54" s="11" t="s">
        <v>2174</v>
      </c>
      <c r="I54" s="11" t="s">
        <v>236</v>
      </c>
      <c r="J54" s="11" t="s">
        <v>2175</v>
      </c>
    </row>
    <row r="55" spans="2:10" x14ac:dyDescent="0.3">
      <c r="B55" s="72" t="s">
        <v>179</v>
      </c>
      <c r="C55" s="11" t="s">
        <v>2176</v>
      </c>
      <c r="D55" s="11" t="s">
        <v>2177</v>
      </c>
      <c r="E55" s="11" t="s">
        <v>2178</v>
      </c>
      <c r="F55" s="11" t="s">
        <v>223</v>
      </c>
      <c r="G55" s="11" t="s">
        <v>228</v>
      </c>
      <c r="H55" s="11" t="s">
        <v>228</v>
      </c>
      <c r="I55" s="11" t="s">
        <v>2179</v>
      </c>
      <c r="J55" s="11" t="s">
        <v>223</v>
      </c>
    </row>
    <row r="56" spans="2:10" x14ac:dyDescent="0.3">
      <c r="B56" s="72" t="s">
        <v>238</v>
      </c>
      <c r="C56" s="11" t="s">
        <v>2180</v>
      </c>
      <c r="D56" s="11" t="s">
        <v>2181</v>
      </c>
      <c r="E56" s="11" t="s">
        <v>2182</v>
      </c>
      <c r="F56" s="11" t="s">
        <v>239</v>
      </c>
      <c r="G56" s="11" t="s">
        <v>2183</v>
      </c>
      <c r="H56" s="11" t="s">
        <v>2184</v>
      </c>
      <c r="I56" s="11" t="s">
        <v>1177</v>
      </c>
      <c r="J56" s="11" t="s">
        <v>239</v>
      </c>
    </row>
    <row r="57" spans="2:10" x14ac:dyDescent="0.3">
      <c r="B57" s="72" t="s">
        <v>181</v>
      </c>
      <c r="C57" s="11" t="s">
        <v>1762</v>
      </c>
      <c r="D57" s="11" t="s">
        <v>232</v>
      </c>
      <c r="E57" s="11" t="s">
        <v>1762</v>
      </c>
      <c r="F57" s="11" t="s">
        <v>232</v>
      </c>
      <c r="G57" s="11" t="s">
        <v>450</v>
      </c>
      <c r="H57" s="11" t="s">
        <v>1762</v>
      </c>
      <c r="I57" s="11" t="s">
        <v>232</v>
      </c>
      <c r="J57" s="11" t="s">
        <v>232</v>
      </c>
    </row>
    <row r="58" spans="2:10" x14ac:dyDescent="0.3">
      <c r="B58" s="72" t="s">
        <v>183</v>
      </c>
      <c r="C58" s="11" t="s">
        <v>240</v>
      </c>
      <c r="D58" s="11" t="s">
        <v>232</v>
      </c>
      <c r="E58" s="11" t="s">
        <v>240</v>
      </c>
      <c r="F58" s="11" t="s">
        <v>232</v>
      </c>
      <c r="G58" s="11" t="s">
        <v>228</v>
      </c>
      <c r="H58" s="11" t="s">
        <v>240</v>
      </c>
      <c r="I58" s="11" t="s">
        <v>232</v>
      </c>
      <c r="J58" s="11" t="s">
        <v>232</v>
      </c>
    </row>
    <row r="59" spans="2:10" ht="124.2" x14ac:dyDescent="0.3">
      <c r="B59" s="72" t="s">
        <v>243</v>
      </c>
      <c r="C59" s="11" t="s">
        <v>2185</v>
      </c>
      <c r="D59" s="11" t="s">
        <v>2186</v>
      </c>
      <c r="E59" s="11" t="s">
        <v>2187</v>
      </c>
      <c r="F59" s="11" t="s">
        <v>2188</v>
      </c>
      <c r="G59" s="11" t="s">
        <v>2189</v>
      </c>
      <c r="H59" s="11" t="s">
        <v>2190</v>
      </c>
      <c r="I59" s="11" t="s">
        <v>2191</v>
      </c>
      <c r="J59" s="11" t="s">
        <v>2192</v>
      </c>
    </row>
    <row r="61" spans="2:10" ht="27.6" customHeight="1" x14ac:dyDescent="0.3">
      <c r="B61" s="81" t="s">
        <v>254</v>
      </c>
      <c r="C61" s="82"/>
      <c r="D61" s="82"/>
      <c r="E61" s="82"/>
      <c r="F61" s="82"/>
      <c r="G61" s="82"/>
      <c r="H61" s="82"/>
      <c r="I61" s="82"/>
      <c r="J61" s="83"/>
    </row>
    <row r="62" spans="2:10" x14ac:dyDescent="0.3">
      <c r="B62" s="72" t="s">
        <v>255</v>
      </c>
      <c r="C62" s="72" t="s">
        <v>167</v>
      </c>
      <c r="D62" s="72" t="s">
        <v>169</v>
      </c>
      <c r="E62" s="72" t="s">
        <v>171</v>
      </c>
      <c r="F62" s="72" t="s">
        <v>177</v>
      </c>
      <c r="G62" s="72" t="s">
        <v>179</v>
      </c>
      <c r="H62" s="72" t="s">
        <v>175</v>
      </c>
      <c r="I62" s="72" t="s">
        <v>181</v>
      </c>
      <c r="J62" s="72" t="s">
        <v>183</v>
      </c>
    </row>
    <row r="63" spans="2:10" x14ac:dyDescent="0.3">
      <c r="B63" s="11" t="s">
        <v>1692</v>
      </c>
      <c r="C63" s="11" t="s">
        <v>224</v>
      </c>
      <c r="D63" s="11" t="s">
        <v>1471</v>
      </c>
      <c r="E63" s="11" t="s">
        <v>223</v>
      </c>
      <c r="F63" s="11" t="s">
        <v>1888</v>
      </c>
      <c r="G63" s="11" t="s">
        <v>2193</v>
      </c>
      <c r="H63" s="11" t="s">
        <v>219</v>
      </c>
      <c r="I63" s="11" t="s">
        <v>1762</v>
      </c>
      <c r="J63" s="11" t="s">
        <v>240</v>
      </c>
    </row>
    <row r="64" spans="2:10" x14ac:dyDescent="0.3">
      <c r="B64" s="11" t="s">
        <v>1695</v>
      </c>
      <c r="C64" s="11" t="s">
        <v>221</v>
      </c>
      <c r="D64" s="11" t="s">
        <v>2161</v>
      </c>
      <c r="E64" s="11" t="s">
        <v>232</v>
      </c>
      <c r="F64" s="11" t="s">
        <v>2194</v>
      </c>
      <c r="G64" s="11" t="s">
        <v>2195</v>
      </c>
      <c r="H64" s="11" t="s">
        <v>2196</v>
      </c>
      <c r="I64" s="11" t="s">
        <v>232</v>
      </c>
      <c r="J64" s="11" t="s">
        <v>232</v>
      </c>
    </row>
    <row r="65" spans="2:10" x14ac:dyDescent="0.3">
      <c r="B65" s="11" t="s">
        <v>1698</v>
      </c>
      <c r="C65" s="11" t="s">
        <v>2197</v>
      </c>
      <c r="D65" s="11" t="s">
        <v>1471</v>
      </c>
      <c r="E65" s="11" t="s">
        <v>470</v>
      </c>
      <c r="F65" s="11" t="s">
        <v>2171</v>
      </c>
      <c r="G65" s="11" t="s">
        <v>228</v>
      </c>
      <c r="H65" s="11" t="s">
        <v>2182</v>
      </c>
      <c r="I65" s="11" t="s">
        <v>1762</v>
      </c>
      <c r="J65" s="11" t="s">
        <v>240</v>
      </c>
    </row>
    <row r="66" spans="2:10" x14ac:dyDescent="0.3">
      <c r="B66" s="11" t="s">
        <v>1701</v>
      </c>
      <c r="C66" s="11" t="s">
        <v>221</v>
      </c>
      <c r="D66" s="11" t="s">
        <v>2198</v>
      </c>
      <c r="E66" s="11" t="s">
        <v>232</v>
      </c>
      <c r="F66" s="11" t="s">
        <v>583</v>
      </c>
      <c r="G66" s="11" t="s">
        <v>223</v>
      </c>
      <c r="H66" s="11" t="s">
        <v>239</v>
      </c>
      <c r="I66" s="11" t="s">
        <v>232</v>
      </c>
      <c r="J66" s="11" t="s">
        <v>232</v>
      </c>
    </row>
    <row r="67" spans="2:10" x14ac:dyDescent="0.3">
      <c r="B67" s="11" t="s">
        <v>1704</v>
      </c>
      <c r="C67" s="11" t="s">
        <v>277</v>
      </c>
      <c r="D67" s="11" t="s">
        <v>2164</v>
      </c>
      <c r="E67" s="11" t="s">
        <v>232</v>
      </c>
      <c r="F67" s="11" t="s">
        <v>2199</v>
      </c>
      <c r="G67" s="11" t="s">
        <v>228</v>
      </c>
      <c r="H67" s="11" t="s">
        <v>225</v>
      </c>
      <c r="I67" s="11" t="s">
        <v>450</v>
      </c>
      <c r="J67" s="11" t="s">
        <v>228</v>
      </c>
    </row>
    <row r="68" spans="2:10" x14ac:dyDescent="0.3">
      <c r="B68" s="11" t="s">
        <v>1707</v>
      </c>
      <c r="C68" s="11" t="s">
        <v>224</v>
      </c>
      <c r="D68" s="11" t="s">
        <v>2165</v>
      </c>
      <c r="E68" s="11" t="s">
        <v>223</v>
      </c>
      <c r="F68" s="11" t="s">
        <v>2200</v>
      </c>
      <c r="G68" s="11" t="s">
        <v>228</v>
      </c>
      <c r="H68" s="11" t="s">
        <v>2201</v>
      </c>
      <c r="I68" s="11" t="s">
        <v>1762</v>
      </c>
      <c r="J68" s="11" t="s">
        <v>240</v>
      </c>
    </row>
    <row r="69" spans="2:10" x14ac:dyDescent="0.3">
      <c r="B69" s="11" t="s">
        <v>1727</v>
      </c>
      <c r="C69" s="11" t="s">
        <v>221</v>
      </c>
      <c r="D69" s="11" t="s">
        <v>2202</v>
      </c>
      <c r="E69" s="11" t="s">
        <v>232</v>
      </c>
      <c r="F69" s="11" t="s">
        <v>236</v>
      </c>
      <c r="G69" s="11" t="s">
        <v>2203</v>
      </c>
      <c r="H69" s="11" t="s">
        <v>1177</v>
      </c>
      <c r="I69" s="11" t="s">
        <v>232</v>
      </c>
      <c r="J69" s="11" t="s">
        <v>232</v>
      </c>
    </row>
    <row r="70" spans="2:10" x14ac:dyDescent="0.3">
      <c r="B70" s="11" t="s">
        <v>1728</v>
      </c>
      <c r="C70" s="11" t="s">
        <v>2204</v>
      </c>
      <c r="D70" s="11" t="s">
        <v>2205</v>
      </c>
      <c r="E70" s="11" t="s">
        <v>232</v>
      </c>
      <c r="F70" s="11" t="s">
        <v>2206</v>
      </c>
      <c r="G70" s="11" t="s">
        <v>223</v>
      </c>
      <c r="H70" s="11" t="s">
        <v>239</v>
      </c>
      <c r="I70" s="11" t="s">
        <v>232</v>
      </c>
      <c r="J70" s="11" t="s">
        <v>232</v>
      </c>
    </row>
    <row r="72" spans="2:10" x14ac:dyDescent="0.3">
      <c r="B72" s="58" t="s">
        <v>264</v>
      </c>
    </row>
    <row r="73" spans="2:10" x14ac:dyDescent="0.3">
      <c r="B73" s="77" t="s">
        <v>196</v>
      </c>
      <c r="C73" s="77" t="s">
        <v>1773</v>
      </c>
      <c r="D73" s="77" t="s">
        <v>1774</v>
      </c>
      <c r="E73" s="77" t="s">
        <v>1775</v>
      </c>
      <c r="F73" s="77" t="s">
        <v>1776</v>
      </c>
      <c r="G73" s="77" t="s">
        <v>1777</v>
      </c>
      <c r="H73" s="77" t="s">
        <v>1778</v>
      </c>
    </row>
    <row r="74" spans="2:10" ht="41.4" x14ac:dyDescent="0.3">
      <c r="B74" s="77" t="s">
        <v>130</v>
      </c>
      <c r="C74" s="78" t="s">
        <v>2207</v>
      </c>
      <c r="D74" s="78" t="s">
        <v>2208</v>
      </c>
      <c r="E74" s="78" t="s">
        <v>2209</v>
      </c>
      <c r="F74" s="78" t="s">
        <v>2210</v>
      </c>
      <c r="G74" s="78" t="s">
        <v>2211</v>
      </c>
      <c r="H74" s="78" t="s">
        <v>2212</v>
      </c>
    </row>
    <row r="75" spans="2:10" ht="151.80000000000001" x14ac:dyDescent="0.3">
      <c r="B75" s="72" t="s">
        <v>208</v>
      </c>
      <c r="C75" s="11" t="s">
        <v>2213</v>
      </c>
      <c r="D75" s="11" t="s">
        <v>2214</v>
      </c>
      <c r="E75" s="11" t="s">
        <v>2215</v>
      </c>
      <c r="F75" s="11" t="s">
        <v>2216</v>
      </c>
      <c r="G75" s="11" t="s">
        <v>2217</v>
      </c>
      <c r="H75" s="11" t="s">
        <v>2218</v>
      </c>
    </row>
    <row r="76" spans="2:10" ht="27.6" x14ac:dyDescent="0.3">
      <c r="B76" s="72" t="s">
        <v>167</v>
      </c>
      <c r="C76" s="11" t="s">
        <v>277</v>
      </c>
      <c r="D76" s="11" t="s">
        <v>2219</v>
      </c>
      <c r="E76" s="11" t="s">
        <v>2220</v>
      </c>
      <c r="F76" s="11" t="s">
        <v>1915</v>
      </c>
      <c r="G76" s="11" t="s">
        <v>2221</v>
      </c>
      <c r="H76" s="11" t="s">
        <v>2222</v>
      </c>
    </row>
    <row r="77" spans="2:10" ht="27.6" x14ac:dyDescent="0.3">
      <c r="B77" s="72" t="s">
        <v>169</v>
      </c>
      <c r="C77" s="11" t="s">
        <v>2223</v>
      </c>
      <c r="D77" s="11" t="s">
        <v>2224</v>
      </c>
      <c r="E77" s="11" t="s">
        <v>2225</v>
      </c>
      <c r="F77" s="11" t="s">
        <v>221</v>
      </c>
      <c r="G77" s="11" t="s">
        <v>278</v>
      </c>
      <c r="H77" s="11" t="s">
        <v>2226</v>
      </c>
    </row>
    <row r="78" spans="2:10" x14ac:dyDescent="0.3">
      <c r="B78" s="72" t="s">
        <v>231</v>
      </c>
      <c r="C78" s="11" t="s">
        <v>232</v>
      </c>
      <c r="D78" s="11" t="s">
        <v>232</v>
      </c>
      <c r="E78" s="11" t="s">
        <v>232</v>
      </c>
      <c r="F78" s="11" t="s">
        <v>232</v>
      </c>
      <c r="G78" s="11" t="s">
        <v>232</v>
      </c>
      <c r="H78" s="11" t="s">
        <v>232</v>
      </c>
    </row>
    <row r="79" spans="2:10" x14ac:dyDescent="0.3">
      <c r="B79" s="72" t="s">
        <v>177</v>
      </c>
      <c r="C79" s="11" t="s">
        <v>279</v>
      </c>
      <c r="D79" s="11" t="s">
        <v>279</v>
      </c>
      <c r="E79" s="11" t="s">
        <v>279</v>
      </c>
      <c r="F79" s="11" t="s">
        <v>279</v>
      </c>
      <c r="G79" s="11" t="s">
        <v>233</v>
      </c>
      <c r="H79" s="11" t="s">
        <v>279</v>
      </c>
    </row>
    <row r="80" spans="2:10" x14ac:dyDescent="0.3">
      <c r="B80" s="72" t="s">
        <v>179</v>
      </c>
      <c r="C80" s="11" t="s">
        <v>223</v>
      </c>
      <c r="D80" s="11" t="s">
        <v>223</v>
      </c>
      <c r="E80" s="11" t="s">
        <v>223</v>
      </c>
      <c r="F80" s="11" t="s">
        <v>449</v>
      </c>
      <c r="G80" s="11" t="s">
        <v>449</v>
      </c>
      <c r="H80" s="11" t="s">
        <v>223</v>
      </c>
    </row>
    <row r="81" spans="2:10" x14ac:dyDescent="0.3">
      <c r="B81" s="72" t="s">
        <v>238</v>
      </c>
      <c r="C81" s="11" t="s">
        <v>239</v>
      </c>
      <c r="D81" s="11" t="s">
        <v>239</v>
      </c>
      <c r="E81" s="11" t="s">
        <v>239</v>
      </c>
      <c r="F81" s="11" t="s">
        <v>239</v>
      </c>
      <c r="G81" s="11" t="s">
        <v>449</v>
      </c>
      <c r="H81" s="11" t="s">
        <v>239</v>
      </c>
    </row>
    <row r="82" spans="2:10" x14ac:dyDescent="0.3">
      <c r="B82" s="72" t="s">
        <v>181</v>
      </c>
      <c r="C82" s="11" t="s">
        <v>232</v>
      </c>
      <c r="D82" s="11" t="s">
        <v>450</v>
      </c>
      <c r="E82" s="11" t="s">
        <v>232</v>
      </c>
      <c r="F82" s="11" t="s">
        <v>232</v>
      </c>
      <c r="G82" s="11" t="s">
        <v>450</v>
      </c>
      <c r="H82" s="11" t="s">
        <v>450</v>
      </c>
    </row>
    <row r="83" spans="2:10" x14ac:dyDescent="0.3">
      <c r="B83" s="72" t="s">
        <v>183</v>
      </c>
      <c r="C83" s="11" t="s">
        <v>232</v>
      </c>
      <c r="D83" s="11" t="s">
        <v>232</v>
      </c>
      <c r="E83" s="11" t="s">
        <v>232</v>
      </c>
      <c r="F83" s="11" t="s">
        <v>232</v>
      </c>
      <c r="G83" s="11" t="s">
        <v>232</v>
      </c>
      <c r="H83" s="11" t="s">
        <v>232</v>
      </c>
    </row>
    <row r="84" spans="2:10" ht="138" x14ac:dyDescent="0.3">
      <c r="B84" s="72" t="s">
        <v>243</v>
      </c>
      <c r="C84" s="11" t="s">
        <v>2227</v>
      </c>
      <c r="D84" s="11" t="s">
        <v>2228</v>
      </c>
      <c r="E84" s="11" t="s">
        <v>2229</v>
      </c>
      <c r="F84" s="11" t="s">
        <v>2230</v>
      </c>
      <c r="G84" s="11" t="s">
        <v>2231</v>
      </c>
      <c r="H84" s="11" t="s">
        <v>2232</v>
      </c>
    </row>
    <row r="86" spans="2:10" x14ac:dyDescent="0.3">
      <c r="B86" s="76" t="s">
        <v>287</v>
      </c>
      <c r="C86" s="76"/>
      <c r="D86" s="76"/>
      <c r="E86" s="76"/>
      <c r="F86" s="76"/>
      <c r="G86" s="76"/>
      <c r="H86" s="76"/>
      <c r="I86" s="76"/>
      <c r="J86" s="76"/>
    </row>
    <row r="87" spans="2:10" x14ac:dyDescent="0.3">
      <c r="B87" s="72" t="s">
        <v>255</v>
      </c>
      <c r="C87" s="72" t="s">
        <v>167</v>
      </c>
      <c r="D87" s="72" t="s">
        <v>169</v>
      </c>
      <c r="E87" s="72" t="s">
        <v>171</v>
      </c>
      <c r="F87" s="72" t="s">
        <v>177</v>
      </c>
      <c r="G87" s="72" t="s">
        <v>179</v>
      </c>
      <c r="H87" s="72" t="s">
        <v>175</v>
      </c>
      <c r="I87" s="72" t="s">
        <v>181</v>
      </c>
      <c r="J87" s="72" t="s">
        <v>183</v>
      </c>
    </row>
    <row r="88" spans="2:10" x14ac:dyDescent="0.3">
      <c r="B88" s="11" t="s">
        <v>1773</v>
      </c>
      <c r="C88" s="11" t="s">
        <v>277</v>
      </c>
      <c r="D88" s="11" t="s">
        <v>221</v>
      </c>
      <c r="E88" s="11" t="s">
        <v>232</v>
      </c>
      <c r="F88" s="11" t="s">
        <v>583</v>
      </c>
      <c r="G88" s="11" t="s">
        <v>223</v>
      </c>
      <c r="H88" s="11" t="s">
        <v>239</v>
      </c>
      <c r="I88" s="11" t="s">
        <v>232</v>
      </c>
      <c r="J88" s="11" t="s">
        <v>232</v>
      </c>
    </row>
    <row r="89" spans="2:10" x14ac:dyDescent="0.3">
      <c r="B89" s="11" t="s">
        <v>1774</v>
      </c>
      <c r="C89" s="11" t="s">
        <v>219</v>
      </c>
      <c r="D89" s="11" t="s">
        <v>2233</v>
      </c>
      <c r="E89" s="11" t="s">
        <v>232</v>
      </c>
      <c r="F89" s="11" t="s">
        <v>583</v>
      </c>
      <c r="G89" s="11" t="s">
        <v>223</v>
      </c>
      <c r="H89" s="11" t="s">
        <v>239</v>
      </c>
      <c r="I89" s="11" t="s">
        <v>450</v>
      </c>
      <c r="J89" s="11" t="s">
        <v>232</v>
      </c>
    </row>
    <row r="90" spans="2:10" x14ac:dyDescent="0.3">
      <c r="B90" s="11" t="s">
        <v>1775</v>
      </c>
      <c r="C90" s="11" t="s">
        <v>221</v>
      </c>
      <c r="D90" s="11" t="s">
        <v>229</v>
      </c>
      <c r="E90" s="11" t="s">
        <v>232</v>
      </c>
      <c r="F90" s="11" t="s">
        <v>583</v>
      </c>
      <c r="G90" s="11" t="s">
        <v>223</v>
      </c>
      <c r="H90" s="11" t="s">
        <v>239</v>
      </c>
      <c r="I90" s="11" t="s">
        <v>232</v>
      </c>
      <c r="J90" s="11" t="s">
        <v>232</v>
      </c>
    </row>
    <row r="91" spans="2:10" x14ac:dyDescent="0.3">
      <c r="B91" s="11" t="s">
        <v>1776</v>
      </c>
      <c r="C91" s="11" t="s">
        <v>221</v>
      </c>
      <c r="D91" s="11" t="s">
        <v>221</v>
      </c>
      <c r="E91" s="11" t="s">
        <v>232</v>
      </c>
      <c r="F91" s="11" t="s">
        <v>583</v>
      </c>
      <c r="G91" s="11" t="s">
        <v>2234</v>
      </c>
      <c r="H91" s="11" t="s">
        <v>239</v>
      </c>
      <c r="I91" s="11" t="s">
        <v>232</v>
      </c>
      <c r="J91" s="11" t="s">
        <v>232</v>
      </c>
    </row>
    <row r="92" spans="2:10" x14ac:dyDescent="0.3">
      <c r="B92" s="11" t="s">
        <v>1777</v>
      </c>
      <c r="C92" s="11" t="s">
        <v>277</v>
      </c>
      <c r="D92" s="11" t="s">
        <v>278</v>
      </c>
      <c r="E92" s="11" t="s">
        <v>232</v>
      </c>
      <c r="F92" s="11" t="s">
        <v>233</v>
      </c>
      <c r="G92" s="11" t="s">
        <v>2234</v>
      </c>
      <c r="H92" s="11" t="s">
        <v>2234</v>
      </c>
      <c r="I92" s="11" t="s">
        <v>450</v>
      </c>
      <c r="J92" s="11" t="s">
        <v>232</v>
      </c>
    </row>
    <row r="93" spans="2:10" x14ac:dyDescent="0.3">
      <c r="B93" s="11" t="s">
        <v>1778</v>
      </c>
      <c r="C93" s="11" t="s">
        <v>219</v>
      </c>
      <c r="D93" s="11" t="s">
        <v>2233</v>
      </c>
      <c r="E93" s="11" t="s">
        <v>232</v>
      </c>
      <c r="F93" s="11" t="s">
        <v>583</v>
      </c>
      <c r="G93" s="11" t="s">
        <v>223</v>
      </c>
      <c r="H93" s="11" t="s">
        <v>239</v>
      </c>
      <c r="I93" s="11" t="s">
        <v>450</v>
      </c>
      <c r="J93" s="11" t="s">
        <v>232</v>
      </c>
    </row>
    <row r="95" spans="2:10" x14ac:dyDescent="0.3">
      <c r="B95" s="76" t="s">
        <v>288</v>
      </c>
      <c r="C95" s="76"/>
      <c r="D95" s="76"/>
      <c r="E95" s="76"/>
      <c r="F95" s="76"/>
      <c r="G95" s="76"/>
      <c r="H95" s="76"/>
      <c r="I95" s="76"/>
      <c r="J95" s="76"/>
    </row>
    <row r="96" spans="2:10" x14ac:dyDescent="0.3">
      <c r="B96" s="72" t="s">
        <v>289</v>
      </c>
      <c r="C96" s="72" t="s">
        <v>167</v>
      </c>
      <c r="D96" s="72" t="s">
        <v>169</v>
      </c>
      <c r="E96" s="72" t="s">
        <v>171</v>
      </c>
      <c r="F96" s="72" t="s">
        <v>177</v>
      </c>
      <c r="G96" s="72" t="s">
        <v>179</v>
      </c>
      <c r="H96" s="72" t="s">
        <v>175</v>
      </c>
      <c r="I96" s="72" t="s">
        <v>181</v>
      </c>
      <c r="J96" s="72" t="s">
        <v>183</v>
      </c>
    </row>
    <row r="97" spans="2:10" ht="27.6" x14ac:dyDescent="0.3">
      <c r="B97" s="11" t="s">
        <v>1692</v>
      </c>
      <c r="C97" s="11" t="s">
        <v>2235</v>
      </c>
      <c r="D97" s="11" t="s">
        <v>2236</v>
      </c>
      <c r="E97" s="11" t="s">
        <v>2237</v>
      </c>
      <c r="F97" s="11" t="s">
        <v>2238</v>
      </c>
      <c r="G97" s="11" t="s">
        <v>2239</v>
      </c>
      <c r="H97" s="11" t="s">
        <v>2240</v>
      </c>
      <c r="I97" s="11" t="s">
        <v>2241</v>
      </c>
      <c r="J97" s="11" t="s">
        <v>219</v>
      </c>
    </row>
    <row r="98" spans="2:10" ht="27.6" x14ac:dyDescent="0.3">
      <c r="B98" s="11" t="s">
        <v>1695</v>
      </c>
      <c r="C98" s="11" t="s">
        <v>2242</v>
      </c>
      <c r="D98" s="11" t="s">
        <v>2243</v>
      </c>
      <c r="E98" s="11" t="s">
        <v>2244</v>
      </c>
      <c r="F98" s="11" t="s">
        <v>2245</v>
      </c>
      <c r="G98" s="11" t="s">
        <v>2246</v>
      </c>
      <c r="H98" s="11" t="s">
        <v>2247</v>
      </c>
      <c r="I98" s="11" t="s">
        <v>1762</v>
      </c>
      <c r="J98" s="11" t="s">
        <v>240</v>
      </c>
    </row>
    <row r="99" spans="2:10" ht="27.6" x14ac:dyDescent="0.3">
      <c r="B99" s="11" t="s">
        <v>1698</v>
      </c>
      <c r="C99" s="11" t="s">
        <v>2248</v>
      </c>
      <c r="D99" s="11" t="s">
        <v>2249</v>
      </c>
      <c r="E99" s="11" t="s">
        <v>2250</v>
      </c>
      <c r="F99" s="11" t="s">
        <v>2251</v>
      </c>
      <c r="G99" s="11" t="s">
        <v>228</v>
      </c>
      <c r="H99" s="11" t="s">
        <v>2252</v>
      </c>
      <c r="I99" s="11" t="s">
        <v>1762</v>
      </c>
      <c r="J99" s="11" t="s">
        <v>240</v>
      </c>
    </row>
    <row r="100" spans="2:10" ht="27.6" x14ac:dyDescent="0.3">
      <c r="B100" s="11" t="s">
        <v>1701</v>
      </c>
      <c r="C100" s="11" t="s">
        <v>2253</v>
      </c>
      <c r="D100" s="11" t="s">
        <v>842</v>
      </c>
      <c r="E100" s="11" t="s">
        <v>842</v>
      </c>
      <c r="F100" s="11" t="s">
        <v>2254</v>
      </c>
      <c r="G100" s="11" t="s">
        <v>2179</v>
      </c>
      <c r="H100" s="11" t="s">
        <v>2255</v>
      </c>
      <c r="I100" s="11" t="s">
        <v>232</v>
      </c>
      <c r="J100" s="11" t="s">
        <v>232</v>
      </c>
    </row>
    <row r="102" spans="2:10" x14ac:dyDescent="0.3">
      <c r="B102" s="76" t="s">
        <v>306</v>
      </c>
      <c r="C102" s="76"/>
      <c r="D102" s="76"/>
      <c r="E102" s="76"/>
      <c r="F102" s="76"/>
      <c r="G102" s="76"/>
      <c r="H102" s="76"/>
    </row>
    <row r="103" spans="2:10" x14ac:dyDescent="0.3">
      <c r="B103" s="79" t="s">
        <v>255</v>
      </c>
      <c r="C103" s="79" t="s">
        <v>167</v>
      </c>
      <c r="D103" s="79" t="s">
        <v>307</v>
      </c>
      <c r="E103" s="79" t="s">
        <v>308</v>
      </c>
      <c r="F103" s="79" t="s">
        <v>309</v>
      </c>
      <c r="G103" s="79" t="s">
        <v>181</v>
      </c>
      <c r="H103" s="79" t="s">
        <v>310</v>
      </c>
    </row>
    <row r="104" spans="2:10" x14ac:dyDescent="0.3">
      <c r="B104" s="11">
        <v>1</v>
      </c>
      <c r="C104" s="11">
        <v>5</v>
      </c>
      <c r="D104" s="11">
        <v>5</v>
      </c>
      <c r="E104" s="11">
        <v>5</v>
      </c>
      <c r="F104" s="11">
        <v>5</v>
      </c>
      <c r="G104" s="11">
        <v>4</v>
      </c>
      <c r="H104" s="80">
        <f t="shared" ref="H104:H111" si="0">AVERAGE(C104:G104)</f>
        <v>4.8</v>
      </c>
    </row>
    <row r="105" spans="2:10" x14ac:dyDescent="0.3">
      <c r="B105" s="11">
        <v>2</v>
      </c>
      <c r="C105" s="11">
        <v>5</v>
      </c>
      <c r="D105" s="11">
        <v>5</v>
      </c>
      <c r="E105" s="11">
        <v>5</v>
      </c>
      <c r="F105" s="11">
        <v>5</v>
      </c>
      <c r="G105" s="11">
        <v>4</v>
      </c>
      <c r="H105" s="80">
        <f t="shared" si="0"/>
        <v>4.8</v>
      </c>
    </row>
    <row r="106" spans="2:10" x14ac:dyDescent="0.3">
      <c r="B106" s="11">
        <v>3</v>
      </c>
      <c r="C106" s="11">
        <v>5</v>
      </c>
      <c r="D106" s="11">
        <v>5</v>
      </c>
      <c r="E106" s="11">
        <v>4</v>
      </c>
      <c r="F106" s="11">
        <v>4</v>
      </c>
      <c r="G106" s="11">
        <v>3</v>
      </c>
      <c r="H106" s="80">
        <f t="shared" si="0"/>
        <v>4.2</v>
      </c>
    </row>
    <row r="107" spans="2:10" x14ac:dyDescent="0.3">
      <c r="B107" s="11">
        <v>4</v>
      </c>
      <c r="C107" s="11">
        <v>5</v>
      </c>
      <c r="D107" s="11">
        <v>5</v>
      </c>
      <c r="E107" s="11">
        <v>5</v>
      </c>
      <c r="F107" s="11">
        <v>5</v>
      </c>
      <c r="G107" s="11">
        <v>4</v>
      </c>
      <c r="H107" s="80">
        <f t="shared" si="0"/>
        <v>4.8</v>
      </c>
    </row>
    <row r="108" spans="2:10" x14ac:dyDescent="0.3">
      <c r="B108" s="11">
        <v>5</v>
      </c>
      <c r="C108" s="11">
        <v>3</v>
      </c>
      <c r="D108" s="11">
        <v>5</v>
      </c>
      <c r="E108" s="11">
        <v>4</v>
      </c>
      <c r="F108" s="11">
        <v>3</v>
      </c>
      <c r="G108" s="11">
        <v>3</v>
      </c>
      <c r="H108" s="80">
        <f t="shared" si="0"/>
        <v>3.6</v>
      </c>
    </row>
    <row r="109" spans="2:10" x14ac:dyDescent="0.3">
      <c r="B109" s="11">
        <v>6</v>
      </c>
      <c r="C109" s="11">
        <v>4</v>
      </c>
      <c r="D109" s="11">
        <v>5</v>
      </c>
      <c r="E109" s="11">
        <v>5</v>
      </c>
      <c r="F109" s="11">
        <v>4</v>
      </c>
      <c r="G109" s="11">
        <v>3</v>
      </c>
      <c r="H109" s="80">
        <f t="shared" si="0"/>
        <v>4.2</v>
      </c>
    </row>
    <row r="110" spans="2:10" x14ac:dyDescent="0.3">
      <c r="B110" s="11">
        <v>7</v>
      </c>
      <c r="C110" s="11">
        <v>3</v>
      </c>
      <c r="D110" s="11">
        <v>5</v>
      </c>
      <c r="E110" s="11">
        <v>3</v>
      </c>
      <c r="F110" s="11">
        <v>2</v>
      </c>
      <c r="G110" s="11">
        <v>3</v>
      </c>
      <c r="H110" s="80">
        <f t="shared" si="0"/>
        <v>3.2</v>
      </c>
    </row>
    <row r="111" spans="2:10" x14ac:dyDescent="0.3">
      <c r="B111" s="11">
        <v>8</v>
      </c>
      <c r="C111" s="11">
        <v>1</v>
      </c>
      <c r="D111" s="11">
        <v>3</v>
      </c>
      <c r="E111" s="11">
        <v>1</v>
      </c>
      <c r="F111" s="11">
        <v>2</v>
      </c>
      <c r="G111" s="11">
        <v>2</v>
      </c>
      <c r="H111" s="80">
        <f t="shared" si="0"/>
        <v>1.8</v>
      </c>
    </row>
  </sheetData>
  <mergeCells count="9">
    <mergeCell ref="B86:J86"/>
    <mergeCell ref="B95:J95"/>
    <mergeCell ref="B102:H102"/>
    <mergeCell ref="B1:C1"/>
    <mergeCell ref="B10:C10"/>
    <mergeCell ref="B17:D17"/>
    <mergeCell ref="B26:C26"/>
    <mergeCell ref="B39:C39"/>
    <mergeCell ref="B61:J6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J109"/>
  <sheetViews>
    <sheetView topLeftCell="A82" zoomScale="66" zoomScaleNormal="100" workbookViewId="0">
      <selection activeCell="B102" sqref="B102:B109"/>
    </sheetView>
  </sheetViews>
  <sheetFormatPr defaultColWidth="8.5546875" defaultRowHeight="14.4" x14ac:dyDescent="0.3"/>
  <cols>
    <col min="1" max="1" width="4" customWidth="1"/>
    <col min="2" max="2" width="35" customWidth="1"/>
    <col min="3" max="3" width="50" customWidth="1"/>
    <col min="4" max="13" width="22" customWidth="1"/>
    <col min="14" max="16" width="18" customWidth="1"/>
  </cols>
  <sheetData>
    <row r="1" spans="2:3" x14ac:dyDescent="0.3">
      <c r="B1" s="76" t="s">
        <v>130</v>
      </c>
      <c r="C1" s="76"/>
    </row>
    <row r="2" spans="2:3" x14ac:dyDescent="0.3">
      <c r="B2" s="72" t="s">
        <v>131</v>
      </c>
      <c r="C2" s="11" t="s">
        <v>109</v>
      </c>
    </row>
    <row r="3" spans="2:3" ht="41.4" x14ac:dyDescent="0.3">
      <c r="B3" s="72" t="s">
        <v>132</v>
      </c>
      <c r="C3" s="11" t="s">
        <v>2256</v>
      </c>
    </row>
    <row r="4" spans="2:3" x14ac:dyDescent="0.3">
      <c r="B4" s="72" t="s">
        <v>134</v>
      </c>
      <c r="C4" s="11" t="s">
        <v>110</v>
      </c>
    </row>
    <row r="5" spans="2:3" ht="82.8" x14ac:dyDescent="0.3">
      <c r="B5" s="72" t="s">
        <v>136</v>
      </c>
      <c r="C5" s="11" t="s">
        <v>2257</v>
      </c>
    </row>
    <row r="6" spans="2:3" x14ac:dyDescent="0.3">
      <c r="B6" s="72" t="s">
        <v>138</v>
      </c>
      <c r="C6" s="11" t="s">
        <v>139</v>
      </c>
    </row>
    <row r="7" spans="2:3" ht="69" x14ac:dyDescent="0.3">
      <c r="B7" s="72" t="s">
        <v>140</v>
      </c>
      <c r="C7" s="11" t="s">
        <v>2258</v>
      </c>
    </row>
    <row r="9" spans="2:3" x14ac:dyDescent="0.3">
      <c r="B9" s="58" t="s">
        <v>142</v>
      </c>
    </row>
    <row r="10" spans="2:3" x14ac:dyDescent="0.3">
      <c r="B10" s="76" t="s">
        <v>143</v>
      </c>
      <c r="C10" s="76"/>
    </row>
    <row r="11" spans="2:3" ht="96.6" x14ac:dyDescent="0.3">
      <c r="B11" s="72" t="s">
        <v>2259</v>
      </c>
      <c r="C11" s="11" t="s">
        <v>2260</v>
      </c>
    </row>
    <row r="12" spans="2:3" ht="82.8" x14ac:dyDescent="0.3">
      <c r="B12" s="72" t="s">
        <v>2261</v>
      </c>
      <c r="C12" s="11" t="s">
        <v>2262</v>
      </c>
    </row>
    <row r="13" spans="2:3" ht="82.8" x14ac:dyDescent="0.3">
      <c r="B13" s="72" t="s">
        <v>2263</v>
      </c>
      <c r="C13" s="11" t="s">
        <v>2264</v>
      </c>
    </row>
    <row r="14" spans="2:3" ht="69" x14ac:dyDescent="0.3">
      <c r="B14" s="72" t="s">
        <v>2265</v>
      </c>
      <c r="C14" s="11" t="s">
        <v>2266</v>
      </c>
    </row>
    <row r="15" spans="2:3" ht="82.8" x14ac:dyDescent="0.3">
      <c r="B15" s="72" t="s">
        <v>2267</v>
      </c>
      <c r="C15" s="11" t="s">
        <v>2268</v>
      </c>
    </row>
    <row r="17" spans="2:4" x14ac:dyDescent="0.3">
      <c r="B17" s="76" t="s">
        <v>152</v>
      </c>
      <c r="C17" s="76"/>
      <c r="D17" s="76"/>
    </row>
    <row r="18" spans="2:4" x14ac:dyDescent="0.3">
      <c r="B18" s="72" t="s">
        <v>153</v>
      </c>
      <c r="C18" s="72" t="s">
        <v>154</v>
      </c>
      <c r="D18" s="72" t="s">
        <v>155</v>
      </c>
    </row>
    <row r="19" spans="2:4" ht="27.6" x14ac:dyDescent="0.3">
      <c r="B19" s="11" t="s">
        <v>1692</v>
      </c>
      <c r="C19" s="11" t="s">
        <v>2269</v>
      </c>
      <c r="D19" s="11" t="s">
        <v>2270</v>
      </c>
    </row>
    <row r="20" spans="2:4" ht="27.6" x14ac:dyDescent="0.3">
      <c r="B20" s="11" t="s">
        <v>1695</v>
      </c>
      <c r="C20" s="11" t="s">
        <v>2271</v>
      </c>
      <c r="D20" s="11" t="s">
        <v>2272</v>
      </c>
    </row>
    <row r="21" spans="2:4" ht="27.6" x14ac:dyDescent="0.3">
      <c r="B21" s="11" t="s">
        <v>1698</v>
      </c>
      <c r="C21" s="11" t="s">
        <v>2273</v>
      </c>
      <c r="D21" s="11" t="s">
        <v>2274</v>
      </c>
    </row>
    <row r="22" spans="2:4" ht="27.6" x14ac:dyDescent="0.3">
      <c r="B22" s="11" t="s">
        <v>1701</v>
      </c>
      <c r="C22" s="11" t="s">
        <v>2275</v>
      </c>
      <c r="D22" s="11" t="s">
        <v>2276</v>
      </c>
    </row>
    <row r="23" spans="2:4" ht="27.6" x14ac:dyDescent="0.3">
      <c r="B23" s="11" t="s">
        <v>1704</v>
      </c>
      <c r="C23" s="11" t="s">
        <v>2277</v>
      </c>
      <c r="D23" s="11" t="s">
        <v>2278</v>
      </c>
    </row>
    <row r="24" spans="2:4" ht="27.6" x14ac:dyDescent="0.3">
      <c r="B24" s="11" t="s">
        <v>1707</v>
      </c>
      <c r="C24" s="11" t="s">
        <v>2279</v>
      </c>
      <c r="D24" s="11" t="s">
        <v>2280</v>
      </c>
    </row>
    <row r="26" spans="2:4" x14ac:dyDescent="0.3">
      <c r="B26" s="76" t="s">
        <v>164</v>
      </c>
      <c r="C26" s="76"/>
    </row>
    <row r="27" spans="2:4" x14ac:dyDescent="0.3">
      <c r="B27" s="72" t="s">
        <v>165</v>
      </c>
      <c r="C27" s="72" t="s">
        <v>166</v>
      </c>
    </row>
    <row r="28" spans="2:4" ht="82.8" x14ac:dyDescent="0.3">
      <c r="B28" s="72" t="s">
        <v>167</v>
      </c>
      <c r="C28" s="11" t="s">
        <v>2281</v>
      </c>
    </row>
    <row r="29" spans="2:4" ht="55.2" x14ac:dyDescent="0.3">
      <c r="B29" s="72" t="s">
        <v>169</v>
      </c>
      <c r="C29" s="11" t="s">
        <v>2282</v>
      </c>
    </row>
    <row r="30" spans="2:4" ht="55.2" x14ac:dyDescent="0.3">
      <c r="B30" s="72" t="s">
        <v>171</v>
      </c>
      <c r="C30" s="11" t="s">
        <v>2283</v>
      </c>
    </row>
    <row r="31" spans="2:4" ht="55.2" x14ac:dyDescent="0.3">
      <c r="B31" s="72" t="s">
        <v>173</v>
      </c>
      <c r="C31" s="11" t="s">
        <v>2284</v>
      </c>
    </row>
    <row r="32" spans="2:4" ht="55.2" x14ac:dyDescent="0.3">
      <c r="B32" s="72" t="s">
        <v>175</v>
      </c>
      <c r="C32" s="11" t="s">
        <v>2285</v>
      </c>
    </row>
    <row r="33" spans="2:9" ht="69" x14ac:dyDescent="0.3">
      <c r="B33" s="72" t="s">
        <v>177</v>
      </c>
      <c r="C33" s="11" t="s">
        <v>2286</v>
      </c>
    </row>
    <row r="34" spans="2:9" ht="41.4" x14ac:dyDescent="0.3">
      <c r="B34" s="72" t="s">
        <v>179</v>
      </c>
      <c r="C34" s="11" t="s">
        <v>2287</v>
      </c>
    </row>
    <row r="35" spans="2:9" ht="69" x14ac:dyDescent="0.3">
      <c r="B35" s="72" t="s">
        <v>181</v>
      </c>
      <c r="C35" s="11" t="s">
        <v>2288</v>
      </c>
    </row>
    <row r="36" spans="2:9" ht="27.6" x14ac:dyDescent="0.3">
      <c r="B36" s="72" t="s">
        <v>183</v>
      </c>
      <c r="C36" s="11" t="s">
        <v>2289</v>
      </c>
    </row>
    <row r="38" spans="2:9" x14ac:dyDescent="0.3">
      <c r="B38" s="58" t="s">
        <v>185</v>
      </c>
    </row>
    <row r="39" spans="2:9" x14ac:dyDescent="0.3">
      <c r="B39" s="76" t="s">
        <v>186</v>
      </c>
      <c r="C39" s="76"/>
    </row>
    <row r="40" spans="2:9" ht="69" x14ac:dyDescent="0.3">
      <c r="B40" s="72" t="s">
        <v>187</v>
      </c>
      <c r="C40" s="11" t="s">
        <v>2290</v>
      </c>
    </row>
    <row r="41" spans="2:9" ht="69" x14ac:dyDescent="0.3">
      <c r="B41" s="72" t="s">
        <v>2291</v>
      </c>
      <c r="C41" s="11" t="s">
        <v>2292</v>
      </c>
    </row>
    <row r="42" spans="2:9" ht="69" x14ac:dyDescent="0.3">
      <c r="B42" s="72" t="s">
        <v>2293</v>
      </c>
      <c r="C42" s="11" t="s">
        <v>2294</v>
      </c>
    </row>
    <row r="43" spans="2:9" ht="110.4" x14ac:dyDescent="0.3">
      <c r="B43" s="72" t="s">
        <v>2295</v>
      </c>
      <c r="C43" s="11" t="s">
        <v>2296</v>
      </c>
    </row>
    <row r="44" spans="2:9" ht="82.8" x14ac:dyDescent="0.3">
      <c r="B44" s="72" t="s">
        <v>2297</v>
      </c>
      <c r="C44" s="11" t="s">
        <v>2298</v>
      </c>
    </row>
    <row r="46" spans="2:9" x14ac:dyDescent="0.3">
      <c r="B46" s="58" t="s">
        <v>195</v>
      </c>
    </row>
    <row r="47" spans="2:9" x14ac:dyDescent="0.3">
      <c r="B47" s="77" t="s">
        <v>196</v>
      </c>
      <c r="C47" s="77" t="s">
        <v>1692</v>
      </c>
      <c r="D47" s="77" t="s">
        <v>1695</v>
      </c>
      <c r="E47" s="77" t="s">
        <v>1698</v>
      </c>
      <c r="F47" s="77" t="s">
        <v>1701</v>
      </c>
      <c r="G47" s="77" t="s">
        <v>1704</v>
      </c>
      <c r="H47" s="77" t="s">
        <v>1707</v>
      </c>
      <c r="I47" s="77" t="s">
        <v>1727</v>
      </c>
    </row>
    <row r="48" spans="2:9" ht="55.2" x14ac:dyDescent="0.3">
      <c r="B48" s="77" t="s">
        <v>130</v>
      </c>
      <c r="C48" s="78" t="s">
        <v>2299</v>
      </c>
      <c r="D48" s="78" t="s">
        <v>2300</v>
      </c>
      <c r="E48" s="78" t="s">
        <v>2301</v>
      </c>
      <c r="F48" s="78" t="s">
        <v>2302</v>
      </c>
      <c r="G48" s="78" t="s">
        <v>2303</v>
      </c>
      <c r="H48" s="78" t="s">
        <v>2304</v>
      </c>
      <c r="I48" s="78" t="s">
        <v>2305</v>
      </c>
    </row>
    <row r="49" spans="2:10" ht="151.80000000000001" x14ac:dyDescent="0.3">
      <c r="B49" s="72" t="s">
        <v>208</v>
      </c>
      <c r="C49" s="11" t="s">
        <v>2306</v>
      </c>
      <c r="D49" s="11" t="s">
        <v>2307</v>
      </c>
      <c r="E49" s="11" t="s">
        <v>2308</v>
      </c>
      <c r="F49" s="11" t="s">
        <v>2309</v>
      </c>
      <c r="G49" s="11" t="s">
        <v>2310</v>
      </c>
      <c r="H49" s="11" t="s">
        <v>2311</v>
      </c>
      <c r="I49" s="11" t="s">
        <v>2312</v>
      </c>
    </row>
    <row r="50" spans="2:10" ht="27.6" x14ac:dyDescent="0.3">
      <c r="B50" s="72" t="s">
        <v>167</v>
      </c>
      <c r="C50" s="11" t="s">
        <v>2313</v>
      </c>
      <c r="D50" s="11" t="s">
        <v>2314</v>
      </c>
      <c r="E50" s="11" t="s">
        <v>2315</v>
      </c>
      <c r="F50" s="11" t="s">
        <v>2316</v>
      </c>
      <c r="G50" s="11" t="s">
        <v>2317</v>
      </c>
      <c r="H50" s="11" t="s">
        <v>2318</v>
      </c>
      <c r="I50" s="11" t="s">
        <v>2319</v>
      </c>
    </row>
    <row r="51" spans="2:10" x14ac:dyDescent="0.3">
      <c r="B51" s="72" t="s">
        <v>169</v>
      </c>
      <c r="C51" s="11" t="s">
        <v>1471</v>
      </c>
      <c r="D51" s="11" t="s">
        <v>1471</v>
      </c>
      <c r="E51" s="11" t="s">
        <v>2320</v>
      </c>
      <c r="F51" s="11" t="s">
        <v>2321</v>
      </c>
      <c r="G51" s="11" t="s">
        <v>296</v>
      </c>
      <c r="H51" s="11" t="s">
        <v>229</v>
      </c>
      <c r="I51" s="11" t="s">
        <v>221</v>
      </c>
    </row>
    <row r="52" spans="2:10" x14ac:dyDescent="0.3">
      <c r="B52" s="72" t="s">
        <v>231</v>
      </c>
      <c r="C52" s="11" t="s">
        <v>2322</v>
      </c>
      <c r="D52" s="11" t="s">
        <v>232</v>
      </c>
      <c r="E52" s="11" t="s">
        <v>232</v>
      </c>
      <c r="F52" s="11" t="s">
        <v>232</v>
      </c>
      <c r="G52" s="11" t="s">
        <v>2323</v>
      </c>
      <c r="H52" s="11" t="s">
        <v>232</v>
      </c>
      <c r="I52" s="11" t="s">
        <v>232</v>
      </c>
    </row>
    <row r="53" spans="2:10" x14ac:dyDescent="0.3">
      <c r="B53" s="72" t="s">
        <v>177</v>
      </c>
      <c r="C53" s="11" t="s">
        <v>1533</v>
      </c>
      <c r="D53" s="11" t="s">
        <v>1533</v>
      </c>
      <c r="E53" s="11" t="s">
        <v>1533</v>
      </c>
      <c r="F53" s="11" t="s">
        <v>2324</v>
      </c>
      <c r="G53" s="11" t="s">
        <v>2325</v>
      </c>
      <c r="H53" s="11" t="s">
        <v>2326</v>
      </c>
      <c r="I53" s="11" t="s">
        <v>2327</v>
      </c>
    </row>
    <row r="54" spans="2:10" x14ac:dyDescent="0.3">
      <c r="B54" s="72" t="s">
        <v>179</v>
      </c>
      <c r="C54" s="11" t="s">
        <v>236</v>
      </c>
      <c r="D54" s="11" t="s">
        <v>236</v>
      </c>
      <c r="E54" s="11" t="s">
        <v>236</v>
      </c>
      <c r="F54" s="11" t="s">
        <v>228</v>
      </c>
      <c r="G54" s="11" t="s">
        <v>223</v>
      </c>
      <c r="H54" s="11" t="s">
        <v>225</v>
      </c>
      <c r="I54" s="11" t="s">
        <v>225</v>
      </c>
    </row>
    <row r="55" spans="2:10" x14ac:dyDescent="0.3">
      <c r="B55" s="72" t="s">
        <v>238</v>
      </c>
      <c r="C55" s="11" t="s">
        <v>239</v>
      </c>
      <c r="D55" s="11" t="s">
        <v>239</v>
      </c>
      <c r="E55" s="11" t="s">
        <v>239</v>
      </c>
      <c r="F55" s="11" t="s">
        <v>1760</v>
      </c>
      <c r="G55" s="11" t="s">
        <v>802</v>
      </c>
      <c r="H55" s="11" t="s">
        <v>239</v>
      </c>
      <c r="I55" s="11" t="s">
        <v>228</v>
      </c>
    </row>
    <row r="56" spans="2:10" x14ac:dyDescent="0.3">
      <c r="B56" s="72" t="s">
        <v>181</v>
      </c>
      <c r="C56" s="11" t="s">
        <v>2328</v>
      </c>
      <c r="D56" s="11" t="s">
        <v>450</v>
      </c>
      <c r="E56" s="11" t="s">
        <v>232</v>
      </c>
      <c r="F56" s="11" t="s">
        <v>232</v>
      </c>
      <c r="G56" s="11" t="s">
        <v>232</v>
      </c>
      <c r="H56" s="11" t="s">
        <v>232</v>
      </c>
      <c r="I56" s="11" t="s">
        <v>1763</v>
      </c>
    </row>
    <row r="57" spans="2:10" x14ac:dyDescent="0.3">
      <c r="B57" s="72" t="s">
        <v>183</v>
      </c>
      <c r="C57" s="11" t="s">
        <v>232</v>
      </c>
      <c r="D57" s="11" t="s">
        <v>232</v>
      </c>
      <c r="E57" s="11" t="s">
        <v>232</v>
      </c>
      <c r="F57" s="11" t="s">
        <v>232</v>
      </c>
      <c r="G57" s="11" t="s">
        <v>232</v>
      </c>
      <c r="H57" s="11" t="s">
        <v>232</v>
      </c>
      <c r="I57" s="11" t="s">
        <v>232</v>
      </c>
    </row>
    <row r="58" spans="2:10" ht="138" x14ac:dyDescent="0.3">
      <c r="B58" s="72" t="s">
        <v>243</v>
      </c>
      <c r="C58" s="11" t="s">
        <v>2329</v>
      </c>
      <c r="D58" s="11" t="s">
        <v>2330</v>
      </c>
      <c r="E58" s="11" t="s">
        <v>2331</v>
      </c>
      <c r="F58" s="11" t="s">
        <v>2332</v>
      </c>
      <c r="G58" s="11" t="s">
        <v>2333</v>
      </c>
      <c r="H58" s="11" t="s">
        <v>2334</v>
      </c>
      <c r="I58" s="11" t="s">
        <v>2335</v>
      </c>
    </row>
    <row r="60" spans="2:10" ht="27.6" customHeight="1" x14ac:dyDescent="0.3">
      <c r="B60" s="76" t="s">
        <v>254</v>
      </c>
      <c r="C60" s="76"/>
      <c r="D60" s="76"/>
      <c r="E60" s="76"/>
      <c r="F60" s="76"/>
      <c r="G60" s="76"/>
      <c r="H60" s="76"/>
      <c r="I60" s="76"/>
      <c r="J60" s="76"/>
    </row>
    <row r="61" spans="2:10" x14ac:dyDescent="0.3">
      <c r="B61" s="72" t="s">
        <v>255</v>
      </c>
      <c r="C61" s="72" t="s">
        <v>167</v>
      </c>
      <c r="D61" s="72" t="s">
        <v>169</v>
      </c>
      <c r="E61" s="72" t="s">
        <v>171</v>
      </c>
      <c r="F61" s="72" t="s">
        <v>177</v>
      </c>
      <c r="G61" s="72" t="s">
        <v>179</v>
      </c>
      <c r="H61" s="72" t="s">
        <v>175</v>
      </c>
      <c r="I61" s="72" t="s">
        <v>181</v>
      </c>
      <c r="J61" s="72" t="s">
        <v>183</v>
      </c>
    </row>
    <row r="62" spans="2:10" x14ac:dyDescent="0.3">
      <c r="B62" s="11" t="s">
        <v>1692</v>
      </c>
      <c r="C62" s="11" t="s">
        <v>2336</v>
      </c>
      <c r="D62" s="11" t="s">
        <v>1471</v>
      </c>
      <c r="E62" s="11" t="s">
        <v>2337</v>
      </c>
      <c r="F62" s="11" t="s">
        <v>1533</v>
      </c>
      <c r="G62" s="11" t="s">
        <v>236</v>
      </c>
      <c r="H62" s="11" t="s">
        <v>239</v>
      </c>
      <c r="I62" s="11" t="s">
        <v>2338</v>
      </c>
      <c r="J62" s="11" t="s">
        <v>232</v>
      </c>
    </row>
    <row r="63" spans="2:10" x14ac:dyDescent="0.3">
      <c r="B63" s="11" t="s">
        <v>1695</v>
      </c>
      <c r="C63" s="11" t="s">
        <v>219</v>
      </c>
      <c r="D63" s="11" t="s">
        <v>1471</v>
      </c>
      <c r="E63" s="11" t="s">
        <v>232</v>
      </c>
      <c r="F63" s="11" t="s">
        <v>1533</v>
      </c>
      <c r="G63" s="11" t="s">
        <v>236</v>
      </c>
      <c r="H63" s="11" t="s">
        <v>239</v>
      </c>
      <c r="I63" s="11" t="s">
        <v>450</v>
      </c>
      <c r="J63" s="11" t="s">
        <v>232</v>
      </c>
    </row>
    <row r="64" spans="2:10" x14ac:dyDescent="0.3">
      <c r="B64" s="11" t="s">
        <v>1698</v>
      </c>
      <c r="C64" s="11" t="s">
        <v>277</v>
      </c>
      <c r="D64" s="11" t="s">
        <v>1474</v>
      </c>
      <c r="E64" s="11" t="s">
        <v>232</v>
      </c>
      <c r="F64" s="11" t="s">
        <v>1533</v>
      </c>
      <c r="G64" s="11" t="s">
        <v>236</v>
      </c>
      <c r="H64" s="11" t="s">
        <v>239</v>
      </c>
      <c r="I64" s="11" t="s">
        <v>232</v>
      </c>
      <c r="J64" s="11" t="s">
        <v>232</v>
      </c>
    </row>
    <row r="65" spans="2:10" x14ac:dyDescent="0.3">
      <c r="B65" s="11" t="s">
        <v>1701</v>
      </c>
      <c r="C65" s="11" t="s">
        <v>2339</v>
      </c>
      <c r="D65" s="11" t="s">
        <v>1471</v>
      </c>
      <c r="E65" s="11" t="s">
        <v>232</v>
      </c>
      <c r="F65" s="11" t="s">
        <v>2324</v>
      </c>
      <c r="G65" s="11" t="s">
        <v>228</v>
      </c>
      <c r="H65" s="11" t="s">
        <v>239</v>
      </c>
      <c r="I65" s="11" t="s">
        <v>232</v>
      </c>
      <c r="J65" s="11" t="s">
        <v>232</v>
      </c>
    </row>
    <row r="66" spans="2:10" x14ac:dyDescent="0.3">
      <c r="B66" s="11" t="s">
        <v>1704</v>
      </c>
      <c r="C66" s="11" t="s">
        <v>224</v>
      </c>
      <c r="D66" s="11" t="s">
        <v>296</v>
      </c>
      <c r="E66" s="11" t="s">
        <v>2323</v>
      </c>
      <c r="F66" s="11" t="s">
        <v>2325</v>
      </c>
      <c r="G66" s="11" t="s">
        <v>223</v>
      </c>
      <c r="H66" s="11" t="s">
        <v>802</v>
      </c>
      <c r="I66" s="11" t="s">
        <v>232</v>
      </c>
      <c r="J66" s="11" t="s">
        <v>232</v>
      </c>
    </row>
    <row r="67" spans="2:10" x14ac:dyDescent="0.3">
      <c r="B67" s="11" t="s">
        <v>1707</v>
      </c>
      <c r="C67" s="11" t="s">
        <v>223</v>
      </c>
      <c r="D67" s="11" t="s">
        <v>229</v>
      </c>
      <c r="E67" s="11" t="s">
        <v>232</v>
      </c>
      <c r="F67" s="11" t="s">
        <v>583</v>
      </c>
      <c r="G67" s="11" t="s">
        <v>225</v>
      </c>
      <c r="H67" s="11" t="s">
        <v>239</v>
      </c>
      <c r="I67" s="11" t="s">
        <v>232</v>
      </c>
      <c r="J67" s="11" t="s">
        <v>232</v>
      </c>
    </row>
    <row r="68" spans="2:10" x14ac:dyDescent="0.3">
      <c r="B68" s="11" t="s">
        <v>1727</v>
      </c>
      <c r="C68" s="11" t="s">
        <v>221</v>
      </c>
      <c r="D68" s="11" t="s">
        <v>221</v>
      </c>
      <c r="E68" s="11" t="s">
        <v>232</v>
      </c>
      <c r="F68" s="11" t="s">
        <v>2327</v>
      </c>
      <c r="G68" s="11" t="s">
        <v>225</v>
      </c>
      <c r="H68" s="11" t="s">
        <v>228</v>
      </c>
      <c r="I68" s="11" t="s">
        <v>1763</v>
      </c>
      <c r="J68" s="11" t="s">
        <v>232</v>
      </c>
    </row>
    <row r="70" spans="2:10" x14ac:dyDescent="0.3">
      <c r="B70" s="58" t="s">
        <v>264</v>
      </c>
    </row>
    <row r="71" spans="2:10" x14ac:dyDescent="0.3">
      <c r="B71" s="77" t="s">
        <v>196</v>
      </c>
      <c r="C71" s="77" t="s">
        <v>1728</v>
      </c>
      <c r="D71" s="77" t="s">
        <v>1773</v>
      </c>
      <c r="E71" s="77" t="s">
        <v>1774</v>
      </c>
      <c r="F71" s="77" t="s">
        <v>1775</v>
      </c>
      <c r="G71" s="77" t="s">
        <v>1776</v>
      </c>
      <c r="H71" s="77" t="s">
        <v>1777</v>
      </c>
    </row>
    <row r="72" spans="2:10" ht="41.4" x14ac:dyDescent="0.3">
      <c r="B72" s="77" t="s">
        <v>130</v>
      </c>
      <c r="C72" s="78" t="s">
        <v>2340</v>
      </c>
      <c r="D72" s="78" t="s">
        <v>2341</v>
      </c>
      <c r="E72" s="78" t="s">
        <v>2342</v>
      </c>
      <c r="F72" s="78" t="s">
        <v>2343</v>
      </c>
      <c r="G72" s="78" t="s">
        <v>2344</v>
      </c>
      <c r="H72" s="78" t="s">
        <v>2345</v>
      </c>
    </row>
    <row r="73" spans="2:10" ht="138" x14ac:dyDescent="0.3">
      <c r="B73" s="72" t="s">
        <v>208</v>
      </c>
      <c r="C73" s="11" t="s">
        <v>2346</v>
      </c>
      <c r="D73" s="11" t="s">
        <v>2347</v>
      </c>
      <c r="E73" s="11" t="s">
        <v>2348</v>
      </c>
      <c r="F73" s="11" t="s">
        <v>2349</v>
      </c>
      <c r="G73" s="11" t="s">
        <v>2350</v>
      </c>
      <c r="H73" s="11" t="s">
        <v>2351</v>
      </c>
    </row>
    <row r="74" spans="2:10" x14ac:dyDescent="0.3">
      <c r="B74" s="72" t="s">
        <v>167</v>
      </c>
      <c r="C74" s="11" t="s">
        <v>949</v>
      </c>
      <c r="D74" s="11" t="s">
        <v>2352</v>
      </c>
      <c r="E74" s="11" t="s">
        <v>2353</v>
      </c>
      <c r="F74" s="11" t="s">
        <v>2354</v>
      </c>
      <c r="G74" s="11" t="s">
        <v>2355</v>
      </c>
      <c r="H74" s="11" t="s">
        <v>2353</v>
      </c>
    </row>
    <row r="75" spans="2:10" ht="27.6" x14ac:dyDescent="0.3">
      <c r="B75" s="72" t="s">
        <v>169</v>
      </c>
      <c r="C75" s="11" t="s">
        <v>229</v>
      </c>
      <c r="D75" s="11" t="s">
        <v>221</v>
      </c>
      <c r="E75" s="11" t="s">
        <v>229</v>
      </c>
      <c r="F75" s="11" t="s">
        <v>221</v>
      </c>
      <c r="G75" s="11" t="s">
        <v>2356</v>
      </c>
      <c r="H75" s="11" t="s">
        <v>2357</v>
      </c>
    </row>
    <row r="76" spans="2:10" x14ac:dyDescent="0.3">
      <c r="B76" s="72" t="s">
        <v>231</v>
      </c>
      <c r="C76" s="11" t="s">
        <v>232</v>
      </c>
      <c r="D76" s="11" t="s">
        <v>232</v>
      </c>
      <c r="E76" s="11" t="s">
        <v>232</v>
      </c>
      <c r="F76" s="11" t="s">
        <v>232</v>
      </c>
      <c r="G76" s="11" t="s">
        <v>232</v>
      </c>
      <c r="H76" s="11" t="s">
        <v>232</v>
      </c>
    </row>
    <row r="77" spans="2:10" ht="27.6" x14ac:dyDescent="0.3">
      <c r="B77" s="72" t="s">
        <v>177</v>
      </c>
      <c r="C77" s="11" t="s">
        <v>2358</v>
      </c>
      <c r="D77" s="11" t="s">
        <v>2359</v>
      </c>
      <c r="E77" s="11" t="s">
        <v>583</v>
      </c>
      <c r="F77" s="11" t="s">
        <v>2360</v>
      </c>
      <c r="G77" s="11" t="s">
        <v>233</v>
      </c>
      <c r="H77" s="11" t="s">
        <v>2172</v>
      </c>
    </row>
    <row r="78" spans="2:10" x14ac:dyDescent="0.3">
      <c r="B78" s="72" t="s">
        <v>179</v>
      </c>
      <c r="C78" s="11" t="s">
        <v>223</v>
      </c>
      <c r="D78" s="11" t="s">
        <v>223</v>
      </c>
      <c r="E78" s="11" t="s">
        <v>223</v>
      </c>
      <c r="F78" s="11" t="s">
        <v>223</v>
      </c>
      <c r="G78" s="11" t="s">
        <v>236</v>
      </c>
      <c r="H78" s="11" t="s">
        <v>223</v>
      </c>
    </row>
    <row r="79" spans="2:10" x14ac:dyDescent="0.3">
      <c r="B79" s="72" t="s">
        <v>238</v>
      </c>
      <c r="C79" s="11" t="s">
        <v>239</v>
      </c>
      <c r="D79" s="11" t="s">
        <v>239</v>
      </c>
      <c r="E79" s="11" t="s">
        <v>239</v>
      </c>
      <c r="F79" s="11" t="s">
        <v>239</v>
      </c>
      <c r="G79" s="11" t="s">
        <v>449</v>
      </c>
      <c r="H79" s="11" t="s">
        <v>239</v>
      </c>
    </row>
    <row r="80" spans="2:10" x14ac:dyDescent="0.3">
      <c r="B80" s="72" t="s">
        <v>181</v>
      </c>
      <c r="C80" s="11" t="s">
        <v>232</v>
      </c>
      <c r="D80" s="11" t="s">
        <v>232</v>
      </c>
      <c r="E80" s="11" t="s">
        <v>450</v>
      </c>
      <c r="F80" s="11" t="s">
        <v>450</v>
      </c>
      <c r="G80" s="11" t="s">
        <v>232</v>
      </c>
      <c r="H80" s="11" t="s">
        <v>232</v>
      </c>
    </row>
    <row r="81" spans="2:10" x14ac:dyDescent="0.3">
      <c r="B81" s="72" t="s">
        <v>183</v>
      </c>
      <c r="C81" s="11" t="s">
        <v>232</v>
      </c>
      <c r="D81" s="11" t="s">
        <v>232</v>
      </c>
      <c r="E81" s="11" t="s">
        <v>232</v>
      </c>
      <c r="F81" s="11" t="s">
        <v>232</v>
      </c>
      <c r="G81" s="11" t="s">
        <v>232</v>
      </c>
      <c r="H81" s="11" t="s">
        <v>232</v>
      </c>
    </row>
    <row r="82" spans="2:10" ht="151.80000000000001" x14ac:dyDescent="0.3">
      <c r="B82" s="72" t="s">
        <v>243</v>
      </c>
      <c r="C82" s="11" t="s">
        <v>2361</v>
      </c>
      <c r="D82" s="11" t="s">
        <v>2362</v>
      </c>
      <c r="E82" s="11" t="s">
        <v>2363</v>
      </c>
      <c r="F82" s="11" t="s">
        <v>2364</v>
      </c>
      <c r="G82" s="11" t="s">
        <v>2365</v>
      </c>
      <c r="H82" s="11" t="s">
        <v>2366</v>
      </c>
    </row>
    <row r="84" spans="2:10" x14ac:dyDescent="0.3">
      <c r="B84" s="76" t="s">
        <v>287</v>
      </c>
      <c r="C84" s="76"/>
      <c r="D84" s="76"/>
      <c r="E84" s="76"/>
      <c r="F84" s="76"/>
      <c r="G84" s="76"/>
      <c r="H84" s="76"/>
      <c r="I84" s="76"/>
      <c r="J84" s="76"/>
    </row>
    <row r="85" spans="2:10" x14ac:dyDescent="0.3">
      <c r="B85" s="72" t="s">
        <v>255</v>
      </c>
      <c r="C85" s="72" t="s">
        <v>167</v>
      </c>
      <c r="D85" s="72" t="s">
        <v>169</v>
      </c>
      <c r="E85" s="72" t="s">
        <v>171</v>
      </c>
      <c r="F85" s="72" t="s">
        <v>177</v>
      </c>
      <c r="G85" s="72" t="s">
        <v>179</v>
      </c>
      <c r="H85" s="72" t="s">
        <v>175</v>
      </c>
      <c r="I85" s="72" t="s">
        <v>181</v>
      </c>
      <c r="J85" s="72" t="s">
        <v>183</v>
      </c>
    </row>
    <row r="86" spans="2:10" x14ac:dyDescent="0.3">
      <c r="B86" s="11" t="s">
        <v>1728</v>
      </c>
      <c r="C86" s="11" t="s">
        <v>224</v>
      </c>
      <c r="D86" s="11" t="s">
        <v>229</v>
      </c>
      <c r="E86" s="11" t="s">
        <v>232</v>
      </c>
      <c r="F86" s="11" t="s">
        <v>2367</v>
      </c>
      <c r="G86" s="11" t="s">
        <v>223</v>
      </c>
      <c r="H86" s="11" t="s">
        <v>239</v>
      </c>
      <c r="I86" s="11" t="s">
        <v>232</v>
      </c>
      <c r="J86" s="11" t="s">
        <v>232</v>
      </c>
    </row>
    <row r="87" spans="2:10" x14ac:dyDescent="0.3">
      <c r="B87" s="11" t="s">
        <v>1773</v>
      </c>
      <c r="C87" s="11" t="s">
        <v>223</v>
      </c>
      <c r="D87" s="11" t="s">
        <v>221</v>
      </c>
      <c r="E87" s="11" t="s">
        <v>232</v>
      </c>
      <c r="F87" s="11" t="s">
        <v>2359</v>
      </c>
      <c r="G87" s="11" t="s">
        <v>223</v>
      </c>
      <c r="H87" s="11" t="s">
        <v>239</v>
      </c>
      <c r="I87" s="11" t="s">
        <v>232</v>
      </c>
      <c r="J87" s="11" t="s">
        <v>232</v>
      </c>
    </row>
    <row r="88" spans="2:10" x14ac:dyDescent="0.3">
      <c r="B88" s="11" t="s">
        <v>1774</v>
      </c>
      <c r="C88" s="11" t="s">
        <v>223</v>
      </c>
      <c r="D88" s="11" t="s">
        <v>229</v>
      </c>
      <c r="E88" s="11" t="s">
        <v>232</v>
      </c>
      <c r="F88" s="11" t="s">
        <v>583</v>
      </c>
      <c r="G88" s="11" t="s">
        <v>223</v>
      </c>
      <c r="H88" s="11" t="s">
        <v>239</v>
      </c>
      <c r="I88" s="11" t="s">
        <v>450</v>
      </c>
      <c r="J88" s="11" t="s">
        <v>232</v>
      </c>
    </row>
    <row r="89" spans="2:10" x14ac:dyDescent="0.3">
      <c r="B89" s="11" t="s">
        <v>1775</v>
      </c>
      <c r="C89" s="11" t="s">
        <v>277</v>
      </c>
      <c r="D89" s="11" t="s">
        <v>221</v>
      </c>
      <c r="E89" s="11" t="s">
        <v>232</v>
      </c>
      <c r="F89" s="11" t="s">
        <v>233</v>
      </c>
      <c r="G89" s="11" t="s">
        <v>223</v>
      </c>
      <c r="H89" s="11" t="s">
        <v>239</v>
      </c>
      <c r="I89" s="11" t="s">
        <v>450</v>
      </c>
      <c r="J89" s="11" t="s">
        <v>232</v>
      </c>
    </row>
    <row r="90" spans="2:10" x14ac:dyDescent="0.3">
      <c r="B90" s="11" t="s">
        <v>1776</v>
      </c>
      <c r="C90" s="11" t="s">
        <v>277</v>
      </c>
      <c r="D90" s="11" t="s">
        <v>278</v>
      </c>
      <c r="E90" s="11" t="s">
        <v>232</v>
      </c>
      <c r="F90" s="11" t="s">
        <v>233</v>
      </c>
      <c r="G90" s="11" t="s">
        <v>236</v>
      </c>
      <c r="H90" s="11" t="s">
        <v>2234</v>
      </c>
      <c r="I90" s="11" t="s">
        <v>232</v>
      </c>
      <c r="J90" s="11" t="s">
        <v>232</v>
      </c>
    </row>
    <row r="91" spans="2:10" x14ac:dyDescent="0.3">
      <c r="B91" s="11" t="s">
        <v>1777</v>
      </c>
      <c r="C91" s="11" t="s">
        <v>223</v>
      </c>
      <c r="D91" s="11" t="s">
        <v>955</v>
      </c>
      <c r="E91" s="11" t="s">
        <v>232</v>
      </c>
      <c r="F91" s="11" t="s">
        <v>2326</v>
      </c>
      <c r="G91" s="11" t="s">
        <v>223</v>
      </c>
      <c r="H91" s="11" t="s">
        <v>239</v>
      </c>
      <c r="I91" s="11" t="s">
        <v>232</v>
      </c>
      <c r="J91" s="11" t="s">
        <v>232</v>
      </c>
    </row>
    <row r="93" spans="2:10" x14ac:dyDescent="0.3">
      <c r="B93" s="76" t="s">
        <v>288</v>
      </c>
      <c r="C93" s="76"/>
      <c r="D93" s="76"/>
      <c r="E93" s="76"/>
      <c r="F93" s="76"/>
      <c r="G93" s="76"/>
      <c r="H93" s="76"/>
      <c r="I93" s="76"/>
      <c r="J93" s="76"/>
    </row>
    <row r="94" spans="2:10" x14ac:dyDescent="0.3">
      <c r="B94" s="72" t="s">
        <v>289</v>
      </c>
      <c r="C94" s="72" t="s">
        <v>167</v>
      </c>
      <c r="D94" s="72" t="s">
        <v>169</v>
      </c>
      <c r="E94" s="72" t="s">
        <v>171</v>
      </c>
      <c r="F94" s="72" t="s">
        <v>177</v>
      </c>
      <c r="G94" s="72" t="s">
        <v>179</v>
      </c>
      <c r="H94" s="72" t="s">
        <v>175</v>
      </c>
      <c r="I94" s="72" t="s">
        <v>181</v>
      </c>
      <c r="J94" s="72" t="s">
        <v>183</v>
      </c>
    </row>
    <row r="95" spans="2:10" ht="27.6" x14ac:dyDescent="0.3">
      <c r="B95" s="11" t="s">
        <v>1692</v>
      </c>
      <c r="C95" s="11" t="s">
        <v>2368</v>
      </c>
      <c r="D95" s="11" t="s">
        <v>2369</v>
      </c>
      <c r="E95" s="11" t="s">
        <v>2370</v>
      </c>
      <c r="F95" s="11" t="s">
        <v>2371</v>
      </c>
      <c r="G95" s="11" t="s">
        <v>223</v>
      </c>
      <c r="H95" s="11" t="s">
        <v>2372</v>
      </c>
      <c r="I95" s="11" t="s">
        <v>2373</v>
      </c>
      <c r="J95" s="11" t="s">
        <v>219</v>
      </c>
    </row>
    <row r="96" spans="2:10" ht="27.6" x14ac:dyDescent="0.3">
      <c r="B96" s="11" t="s">
        <v>1695</v>
      </c>
      <c r="C96" s="11" t="s">
        <v>2374</v>
      </c>
      <c r="D96" s="11" t="s">
        <v>2375</v>
      </c>
      <c r="E96" s="11" t="s">
        <v>2376</v>
      </c>
      <c r="F96" s="11" t="s">
        <v>2377</v>
      </c>
      <c r="G96" s="11" t="s">
        <v>236</v>
      </c>
      <c r="H96" s="11" t="s">
        <v>2378</v>
      </c>
      <c r="I96" s="11" t="s">
        <v>2379</v>
      </c>
      <c r="J96" s="11" t="s">
        <v>219</v>
      </c>
    </row>
    <row r="97" spans="2:10" x14ac:dyDescent="0.3">
      <c r="B97" s="11" t="s">
        <v>1698</v>
      </c>
      <c r="C97" s="11" t="s">
        <v>2380</v>
      </c>
      <c r="D97" s="11" t="s">
        <v>2381</v>
      </c>
      <c r="E97" s="11" t="s">
        <v>2382</v>
      </c>
      <c r="F97" s="11" t="s">
        <v>2383</v>
      </c>
      <c r="G97" s="11" t="s">
        <v>223</v>
      </c>
      <c r="H97" s="11" t="s">
        <v>223</v>
      </c>
      <c r="I97" s="11" t="s">
        <v>232</v>
      </c>
      <c r="J97" s="11" t="s">
        <v>219</v>
      </c>
    </row>
    <row r="98" spans="2:10" x14ac:dyDescent="0.3">
      <c r="B98" s="11" t="s">
        <v>1701</v>
      </c>
      <c r="C98" s="11" t="s">
        <v>842</v>
      </c>
      <c r="D98" s="11" t="s">
        <v>2384</v>
      </c>
      <c r="E98" s="11" t="s">
        <v>2385</v>
      </c>
      <c r="F98" s="11" t="s">
        <v>583</v>
      </c>
      <c r="G98" s="11" t="s">
        <v>223</v>
      </c>
      <c r="H98" s="11" t="s">
        <v>239</v>
      </c>
      <c r="I98" s="11" t="s">
        <v>450</v>
      </c>
      <c r="J98" s="11" t="s">
        <v>232</v>
      </c>
    </row>
    <row r="100" spans="2:10" x14ac:dyDescent="0.3">
      <c r="B100" s="76" t="s">
        <v>306</v>
      </c>
      <c r="C100" s="76"/>
      <c r="D100" s="76"/>
      <c r="E100" s="76"/>
      <c r="F100" s="76"/>
      <c r="G100" s="76"/>
      <c r="H100" s="76"/>
    </row>
    <row r="101" spans="2:10" x14ac:dyDescent="0.3">
      <c r="B101" s="77" t="s">
        <v>255</v>
      </c>
      <c r="C101" s="77" t="s">
        <v>167</v>
      </c>
      <c r="D101" s="77" t="s">
        <v>307</v>
      </c>
      <c r="E101" s="77" t="s">
        <v>308</v>
      </c>
      <c r="F101" s="77" t="s">
        <v>309</v>
      </c>
      <c r="G101" s="77" t="s">
        <v>181</v>
      </c>
      <c r="H101" s="77" t="s">
        <v>310</v>
      </c>
    </row>
    <row r="102" spans="2:10" x14ac:dyDescent="0.3">
      <c r="B102" s="11">
        <v>1</v>
      </c>
      <c r="C102" s="11">
        <v>5</v>
      </c>
      <c r="D102" s="11">
        <v>5</v>
      </c>
      <c r="E102" s="11">
        <v>5</v>
      </c>
      <c r="F102" s="11">
        <v>4</v>
      </c>
      <c r="G102" s="11">
        <v>5</v>
      </c>
      <c r="H102" s="80">
        <f t="shared" ref="H102:H109" si="0">AVERAGE(C102:G102)</f>
        <v>4.8</v>
      </c>
    </row>
    <row r="103" spans="2:10" x14ac:dyDescent="0.3">
      <c r="B103" s="11">
        <v>2</v>
      </c>
      <c r="C103" s="11">
        <v>5</v>
      </c>
      <c r="D103" s="11">
        <v>4</v>
      </c>
      <c r="E103" s="11">
        <v>5</v>
      </c>
      <c r="F103" s="11">
        <v>5</v>
      </c>
      <c r="G103" s="11">
        <v>4</v>
      </c>
      <c r="H103" s="80">
        <f t="shared" si="0"/>
        <v>4.5999999999999996</v>
      </c>
    </row>
    <row r="104" spans="2:10" x14ac:dyDescent="0.3">
      <c r="B104" s="11">
        <v>3</v>
      </c>
      <c r="C104" s="11">
        <v>4</v>
      </c>
      <c r="D104" s="11">
        <v>4</v>
      </c>
      <c r="E104" s="11">
        <v>5</v>
      </c>
      <c r="F104" s="11">
        <v>5</v>
      </c>
      <c r="G104" s="11">
        <v>3</v>
      </c>
      <c r="H104" s="80">
        <f t="shared" si="0"/>
        <v>4.2</v>
      </c>
    </row>
    <row r="105" spans="2:10" x14ac:dyDescent="0.3">
      <c r="B105" s="11">
        <v>4</v>
      </c>
      <c r="C105" s="11">
        <v>5</v>
      </c>
      <c r="D105" s="11">
        <v>4</v>
      </c>
      <c r="E105" s="11">
        <v>5</v>
      </c>
      <c r="F105" s="11">
        <v>5</v>
      </c>
      <c r="G105" s="11">
        <v>4</v>
      </c>
      <c r="H105" s="80">
        <f t="shared" si="0"/>
        <v>4.5999999999999996</v>
      </c>
    </row>
    <row r="106" spans="2:10" x14ac:dyDescent="0.3">
      <c r="B106" s="11">
        <v>5</v>
      </c>
      <c r="C106" s="11">
        <v>5</v>
      </c>
      <c r="D106" s="11">
        <v>3</v>
      </c>
      <c r="E106" s="11">
        <v>5</v>
      </c>
      <c r="F106" s="11">
        <v>5</v>
      </c>
      <c r="G106" s="11">
        <v>3</v>
      </c>
      <c r="H106" s="80">
        <f t="shared" si="0"/>
        <v>4.2</v>
      </c>
    </row>
    <row r="107" spans="2:10" x14ac:dyDescent="0.3">
      <c r="B107" s="11">
        <v>6</v>
      </c>
      <c r="C107" s="11">
        <v>4</v>
      </c>
      <c r="D107" s="11">
        <v>4</v>
      </c>
      <c r="E107" s="11">
        <v>5</v>
      </c>
      <c r="F107" s="11">
        <v>4</v>
      </c>
      <c r="G107" s="11">
        <v>4</v>
      </c>
      <c r="H107" s="80">
        <f t="shared" si="0"/>
        <v>4.2</v>
      </c>
    </row>
    <row r="108" spans="2:10" x14ac:dyDescent="0.3">
      <c r="B108" s="11">
        <v>7</v>
      </c>
      <c r="C108" s="11">
        <v>3</v>
      </c>
      <c r="D108" s="11">
        <v>5</v>
      </c>
      <c r="E108" s="11">
        <v>4</v>
      </c>
      <c r="F108" s="11">
        <v>3</v>
      </c>
      <c r="G108" s="11">
        <v>3</v>
      </c>
      <c r="H108" s="80">
        <f t="shared" si="0"/>
        <v>3.6</v>
      </c>
    </row>
    <row r="109" spans="2:10" x14ac:dyDescent="0.3">
      <c r="B109" s="11">
        <v>8</v>
      </c>
      <c r="C109" s="11">
        <v>3</v>
      </c>
      <c r="D109" s="11">
        <v>5</v>
      </c>
      <c r="E109" s="11">
        <v>4</v>
      </c>
      <c r="F109" s="11">
        <v>3</v>
      </c>
      <c r="G109" s="11">
        <v>3</v>
      </c>
      <c r="H109" s="80">
        <f t="shared" si="0"/>
        <v>3.6</v>
      </c>
    </row>
  </sheetData>
  <mergeCells count="9">
    <mergeCell ref="B84:J84"/>
    <mergeCell ref="B93:J93"/>
    <mergeCell ref="B100:H100"/>
    <mergeCell ref="B1:C1"/>
    <mergeCell ref="B10:C10"/>
    <mergeCell ref="B17:D17"/>
    <mergeCell ref="B26:C26"/>
    <mergeCell ref="B39:C39"/>
    <mergeCell ref="B60:J60"/>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109"/>
  <sheetViews>
    <sheetView topLeftCell="A92" zoomScale="75" zoomScaleNormal="100" workbookViewId="0">
      <selection activeCell="B102" sqref="B102:B109"/>
    </sheetView>
  </sheetViews>
  <sheetFormatPr defaultColWidth="8.5546875" defaultRowHeight="14.4" x14ac:dyDescent="0.3"/>
  <cols>
    <col min="1" max="1" width="4" customWidth="1"/>
    <col min="2" max="2" width="35" customWidth="1"/>
    <col min="3" max="3" width="50" customWidth="1"/>
    <col min="4" max="13" width="22" customWidth="1"/>
    <col min="14" max="16" width="18" customWidth="1"/>
  </cols>
  <sheetData>
    <row r="1" spans="2:3" x14ac:dyDescent="0.3">
      <c r="B1" s="76" t="s">
        <v>130</v>
      </c>
      <c r="C1" s="76"/>
    </row>
    <row r="2" spans="2:3" x14ac:dyDescent="0.3">
      <c r="B2" s="72" t="s">
        <v>131</v>
      </c>
      <c r="C2" s="11" t="s">
        <v>116</v>
      </c>
    </row>
    <row r="3" spans="2:3" ht="41.4" x14ac:dyDescent="0.3">
      <c r="B3" s="72" t="s">
        <v>132</v>
      </c>
      <c r="C3" s="11" t="s">
        <v>2386</v>
      </c>
    </row>
    <row r="4" spans="2:3" ht="27.6" x14ac:dyDescent="0.3">
      <c r="B4" s="72" t="s">
        <v>134</v>
      </c>
      <c r="C4" s="11" t="s">
        <v>117</v>
      </c>
    </row>
    <row r="5" spans="2:3" ht="82.8" x14ac:dyDescent="0.3">
      <c r="B5" s="72" t="s">
        <v>136</v>
      </c>
      <c r="C5" s="11" t="s">
        <v>2387</v>
      </c>
    </row>
    <row r="6" spans="2:3" x14ac:dyDescent="0.3">
      <c r="B6" s="72" t="s">
        <v>138</v>
      </c>
      <c r="C6" s="11" t="s">
        <v>139</v>
      </c>
    </row>
    <row r="7" spans="2:3" ht="82.8" x14ac:dyDescent="0.3">
      <c r="B7" s="72" t="s">
        <v>140</v>
      </c>
      <c r="C7" s="11" t="s">
        <v>2388</v>
      </c>
    </row>
    <row r="9" spans="2:3" x14ac:dyDescent="0.3">
      <c r="B9" s="58" t="s">
        <v>142</v>
      </c>
    </row>
    <row r="10" spans="2:3" x14ac:dyDescent="0.3">
      <c r="B10" s="76" t="s">
        <v>143</v>
      </c>
      <c r="C10" s="76"/>
    </row>
    <row r="11" spans="2:3" ht="110.4" x14ac:dyDescent="0.3">
      <c r="B11" s="72" t="s">
        <v>2389</v>
      </c>
      <c r="C11" s="11" t="s">
        <v>2390</v>
      </c>
    </row>
    <row r="12" spans="2:3" ht="110.4" x14ac:dyDescent="0.3">
      <c r="B12" s="72" t="s">
        <v>2391</v>
      </c>
      <c r="C12" s="11" t="s">
        <v>2392</v>
      </c>
    </row>
    <row r="13" spans="2:3" ht="82.8" x14ac:dyDescent="0.3">
      <c r="B13" s="72" t="s">
        <v>2393</v>
      </c>
      <c r="C13" s="11" t="s">
        <v>2394</v>
      </c>
    </row>
    <row r="14" spans="2:3" ht="69" x14ac:dyDescent="0.3">
      <c r="B14" s="72" t="s">
        <v>2395</v>
      </c>
      <c r="C14" s="11" t="s">
        <v>2396</v>
      </c>
    </row>
    <row r="15" spans="2:3" ht="96.6" x14ac:dyDescent="0.3">
      <c r="B15" s="72" t="s">
        <v>2397</v>
      </c>
      <c r="C15" s="11" t="s">
        <v>2398</v>
      </c>
    </row>
    <row r="17" spans="2:4" x14ac:dyDescent="0.3">
      <c r="B17" s="76" t="s">
        <v>152</v>
      </c>
      <c r="C17" s="76"/>
      <c r="D17" s="76"/>
    </row>
    <row r="18" spans="2:4" x14ac:dyDescent="0.3">
      <c r="B18" s="72" t="s">
        <v>153</v>
      </c>
      <c r="C18" s="72" t="s">
        <v>154</v>
      </c>
      <c r="D18" s="72" t="s">
        <v>155</v>
      </c>
    </row>
    <row r="19" spans="2:4" ht="27.6" x14ac:dyDescent="0.3">
      <c r="B19" s="11" t="s">
        <v>1692</v>
      </c>
      <c r="C19" s="11" t="s">
        <v>2399</v>
      </c>
      <c r="D19" s="11" t="s">
        <v>2400</v>
      </c>
    </row>
    <row r="20" spans="2:4" ht="27.6" x14ac:dyDescent="0.3">
      <c r="B20" s="11" t="s">
        <v>1695</v>
      </c>
      <c r="C20" s="11" t="s">
        <v>2401</v>
      </c>
      <c r="D20" s="11" t="s">
        <v>2402</v>
      </c>
    </row>
    <row r="21" spans="2:4" ht="27.6" x14ac:dyDescent="0.3">
      <c r="B21" s="11" t="s">
        <v>1698</v>
      </c>
      <c r="C21" s="11" t="s">
        <v>2403</v>
      </c>
      <c r="D21" s="11" t="s">
        <v>2404</v>
      </c>
    </row>
    <row r="22" spans="2:4" ht="27.6" x14ac:dyDescent="0.3">
      <c r="B22" s="11" t="s">
        <v>1701</v>
      </c>
      <c r="C22" s="11" t="s">
        <v>2405</v>
      </c>
      <c r="D22" s="11" t="s">
        <v>2406</v>
      </c>
    </row>
    <row r="23" spans="2:4" ht="27.6" x14ac:dyDescent="0.3">
      <c r="B23" s="11" t="s">
        <v>1704</v>
      </c>
      <c r="C23" s="11" t="s">
        <v>2407</v>
      </c>
      <c r="D23" s="11" t="s">
        <v>2408</v>
      </c>
    </row>
    <row r="24" spans="2:4" ht="27.6" x14ac:dyDescent="0.3">
      <c r="B24" s="11" t="s">
        <v>1707</v>
      </c>
      <c r="C24" s="11" t="s">
        <v>2409</v>
      </c>
      <c r="D24" s="11" t="s">
        <v>2410</v>
      </c>
    </row>
    <row r="26" spans="2:4" x14ac:dyDescent="0.3">
      <c r="B26" s="76" t="s">
        <v>164</v>
      </c>
      <c r="C26" s="76"/>
    </row>
    <row r="27" spans="2:4" x14ac:dyDescent="0.3">
      <c r="B27" s="72" t="s">
        <v>165</v>
      </c>
      <c r="C27" s="72" t="s">
        <v>166</v>
      </c>
    </row>
    <row r="28" spans="2:4" ht="69" x14ac:dyDescent="0.3">
      <c r="B28" s="72" t="s">
        <v>167</v>
      </c>
      <c r="C28" s="11" t="s">
        <v>2411</v>
      </c>
    </row>
    <row r="29" spans="2:4" ht="82.8" x14ac:dyDescent="0.3">
      <c r="B29" s="72" t="s">
        <v>169</v>
      </c>
      <c r="C29" s="11" t="s">
        <v>2412</v>
      </c>
    </row>
    <row r="30" spans="2:4" ht="55.2" x14ac:dyDescent="0.3">
      <c r="B30" s="72" t="s">
        <v>171</v>
      </c>
      <c r="C30" s="11" t="s">
        <v>2413</v>
      </c>
    </row>
    <row r="31" spans="2:4" ht="55.2" x14ac:dyDescent="0.3">
      <c r="B31" s="72" t="s">
        <v>173</v>
      </c>
      <c r="C31" s="11" t="s">
        <v>2414</v>
      </c>
    </row>
    <row r="32" spans="2:4" ht="69" x14ac:dyDescent="0.3">
      <c r="B32" s="72" t="s">
        <v>175</v>
      </c>
      <c r="C32" s="11" t="s">
        <v>2415</v>
      </c>
    </row>
    <row r="33" spans="2:9" ht="69" x14ac:dyDescent="0.3">
      <c r="B33" s="72" t="s">
        <v>177</v>
      </c>
      <c r="C33" s="11" t="s">
        <v>2416</v>
      </c>
    </row>
    <row r="34" spans="2:9" ht="55.2" x14ac:dyDescent="0.3">
      <c r="B34" s="72" t="s">
        <v>179</v>
      </c>
      <c r="C34" s="11" t="s">
        <v>2417</v>
      </c>
    </row>
    <row r="35" spans="2:9" ht="41.4" x14ac:dyDescent="0.3">
      <c r="B35" s="72" t="s">
        <v>181</v>
      </c>
      <c r="C35" s="11" t="s">
        <v>2418</v>
      </c>
    </row>
    <row r="36" spans="2:9" ht="41.4" x14ac:dyDescent="0.3">
      <c r="B36" s="72" t="s">
        <v>183</v>
      </c>
      <c r="C36" s="11" t="s">
        <v>2419</v>
      </c>
    </row>
    <row r="38" spans="2:9" x14ac:dyDescent="0.3">
      <c r="B38" s="58" t="s">
        <v>185</v>
      </c>
    </row>
    <row r="39" spans="2:9" x14ac:dyDescent="0.3">
      <c r="B39" s="76" t="s">
        <v>186</v>
      </c>
      <c r="C39" s="76"/>
    </row>
    <row r="40" spans="2:9" ht="69" x14ac:dyDescent="0.3">
      <c r="B40" s="72" t="s">
        <v>2420</v>
      </c>
      <c r="C40" s="11" t="s">
        <v>2421</v>
      </c>
    </row>
    <row r="41" spans="2:9" ht="82.8" x14ac:dyDescent="0.3">
      <c r="B41" s="72" t="s">
        <v>2422</v>
      </c>
      <c r="C41" s="11" t="s">
        <v>2423</v>
      </c>
    </row>
    <row r="42" spans="2:9" ht="96.6" x14ac:dyDescent="0.3">
      <c r="B42" s="72" t="s">
        <v>2424</v>
      </c>
      <c r="C42" s="11" t="s">
        <v>2425</v>
      </c>
    </row>
    <row r="43" spans="2:9" ht="69" x14ac:dyDescent="0.3">
      <c r="B43" s="72" t="s">
        <v>2426</v>
      </c>
      <c r="C43" s="11" t="s">
        <v>2427</v>
      </c>
    </row>
    <row r="44" spans="2:9" ht="96.6" x14ac:dyDescent="0.3">
      <c r="B44" s="72" t="s">
        <v>2428</v>
      </c>
      <c r="C44" s="11" t="s">
        <v>2429</v>
      </c>
    </row>
    <row r="46" spans="2:9" x14ac:dyDescent="0.3">
      <c r="B46" s="58" t="s">
        <v>195</v>
      </c>
    </row>
    <row r="47" spans="2:9" x14ac:dyDescent="0.3">
      <c r="B47" s="77" t="s">
        <v>196</v>
      </c>
      <c r="C47" s="77" t="s">
        <v>1692</v>
      </c>
      <c r="D47" s="77" t="s">
        <v>1695</v>
      </c>
      <c r="E47" s="77" t="s">
        <v>1698</v>
      </c>
      <c r="F47" s="77" t="s">
        <v>1701</v>
      </c>
      <c r="G47" s="77" t="s">
        <v>1704</v>
      </c>
      <c r="H47" s="77" t="s">
        <v>1707</v>
      </c>
      <c r="I47" s="77" t="s">
        <v>1727</v>
      </c>
    </row>
    <row r="48" spans="2:9" ht="41.4" x14ac:dyDescent="0.3">
      <c r="B48" s="77" t="s">
        <v>130</v>
      </c>
      <c r="C48" s="78" t="s">
        <v>2430</v>
      </c>
      <c r="D48" s="78" t="s">
        <v>2431</v>
      </c>
      <c r="E48" s="78" t="s">
        <v>2432</v>
      </c>
      <c r="F48" s="78" t="s">
        <v>2433</v>
      </c>
      <c r="G48" s="78" t="s">
        <v>2434</v>
      </c>
      <c r="H48" s="78" t="s">
        <v>2435</v>
      </c>
      <c r="I48" s="78" t="s">
        <v>2436</v>
      </c>
    </row>
    <row r="49" spans="2:10" ht="124.2" x14ac:dyDescent="0.3">
      <c r="B49" s="72" t="s">
        <v>208</v>
      </c>
      <c r="C49" s="11" t="s">
        <v>2437</v>
      </c>
      <c r="D49" s="11" t="s">
        <v>2438</v>
      </c>
      <c r="E49" s="11" t="s">
        <v>2439</v>
      </c>
      <c r="F49" s="11" t="s">
        <v>2440</v>
      </c>
      <c r="G49" s="11" t="s">
        <v>2441</v>
      </c>
      <c r="H49" s="11" t="s">
        <v>2442</v>
      </c>
      <c r="I49" s="11" t="s">
        <v>2443</v>
      </c>
    </row>
    <row r="50" spans="2:10" ht="27.6" x14ac:dyDescent="0.3">
      <c r="B50" s="72" t="s">
        <v>167</v>
      </c>
      <c r="C50" s="11" t="s">
        <v>2444</v>
      </c>
      <c r="D50" s="11" t="s">
        <v>2445</v>
      </c>
      <c r="E50" s="11" t="s">
        <v>2446</v>
      </c>
      <c r="F50" s="11" t="s">
        <v>2447</v>
      </c>
      <c r="G50" s="11" t="s">
        <v>2448</v>
      </c>
      <c r="H50" s="11" t="s">
        <v>2449</v>
      </c>
      <c r="I50" s="11" t="s">
        <v>2450</v>
      </c>
    </row>
    <row r="51" spans="2:10" ht="27.6" x14ac:dyDescent="0.3">
      <c r="B51" s="72" t="s">
        <v>169</v>
      </c>
      <c r="C51" s="11" t="s">
        <v>2451</v>
      </c>
      <c r="D51" s="11" t="s">
        <v>2452</v>
      </c>
      <c r="E51" s="11" t="s">
        <v>2453</v>
      </c>
      <c r="F51" s="11" t="s">
        <v>2454</v>
      </c>
      <c r="G51" s="11" t="s">
        <v>2455</v>
      </c>
      <c r="H51" s="11" t="s">
        <v>2456</v>
      </c>
      <c r="I51" s="11" t="s">
        <v>2457</v>
      </c>
    </row>
    <row r="52" spans="2:10" x14ac:dyDescent="0.3">
      <c r="B52" s="72" t="s">
        <v>231</v>
      </c>
      <c r="C52" s="11" t="s">
        <v>2458</v>
      </c>
      <c r="D52" s="11" t="s">
        <v>232</v>
      </c>
      <c r="E52" s="11" t="s">
        <v>232</v>
      </c>
      <c r="F52" s="11" t="s">
        <v>232</v>
      </c>
      <c r="G52" s="11" t="s">
        <v>232</v>
      </c>
      <c r="H52" s="11" t="s">
        <v>2459</v>
      </c>
      <c r="I52" s="11" t="s">
        <v>232</v>
      </c>
    </row>
    <row r="53" spans="2:10" ht="27.6" x14ac:dyDescent="0.3">
      <c r="B53" s="72" t="s">
        <v>177</v>
      </c>
      <c r="C53" s="11" t="s">
        <v>2460</v>
      </c>
      <c r="D53" s="11" t="s">
        <v>2461</v>
      </c>
      <c r="E53" s="11" t="s">
        <v>2462</v>
      </c>
      <c r="F53" s="11" t="s">
        <v>279</v>
      </c>
      <c r="G53" s="11" t="s">
        <v>2463</v>
      </c>
      <c r="H53" s="11" t="s">
        <v>2464</v>
      </c>
      <c r="I53" s="11" t="s">
        <v>2465</v>
      </c>
    </row>
    <row r="54" spans="2:10" x14ac:dyDescent="0.3">
      <c r="B54" s="72" t="s">
        <v>179</v>
      </c>
      <c r="C54" s="11" t="s">
        <v>2466</v>
      </c>
      <c r="D54" s="11" t="s">
        <v>2467</v>
      </c>
      <c r="E54" s="11" t="s">
        <v>2467</v>
      </c>
      <c r="F54" s="11" t="s">
        <v>223</v>
      </c>
      <c r="G54" s="11" t="s">
        <v>223</v>
      </c>
      <c r="H54" s="11" t="s">
        <v>236</v>
      </c>
      <c r="I54" s="11" t="s">
        <v>2468</v>
      </c>
    </row>
    <row r="55" spans="2:10" x14ac:dyDescent="0.3">
      <c r="B55" s="72" t="s">
        <v>238</v>
      </c>
      <c r="C55" s="11" t="s">
        <v>2469</v>
      </c>
      <c r="D55" s="11" t="s">
        <v>2470</v>
      </c>
      <c r="E55" s="11" t="s">
        <v>2471</v>
      </c>
      <c r="F55" s="11" t="s">
        <v>239</v>
      </c>
      <c r="G55" s="11" t="s">
        <v>239</v>
      </c>
      <c r="H55" s="11" t="s">
        <v>2472</v>
      </c>
      <c r="I55" s="11" t="s">
        <v>2473</v>
      </c>
    </row>
    <row r="56" spans="2:10" x14ac:dyDescent="0.3">
      <c r="B56" s="72" t="s">
        <v>181</v>
      </c>
      <c r="C56" s="11" t="s">
        <v>232</v>
      </c>
      <c r="D56" s="11" t="s">
        <v>232</v>
      </c>
      <c r="E56" s="11" t="s">
        <v>232</v>
      </c>
      <c r="F56" s="11" t="s">
        <v>232</v>
      </c>
      <c r="G56" s="11" t="s">
        <v>232</v>
      </c>
      <c r="H56" s="11" t="s">
        <v>1762</v>
      </c>
      <c r="I56" s="11" t="s">
        <v>232</v>
      </c>
    </row>
    <row r="57" spans="2:10" x14ac:dyDescent="0.3">
      <c r="B57" s="72" t="s">
        <v>183</v>
      </c>
      <c r="C57" s="11" t="s">
        <v>232</v>
      </c>
      <c r="D57" s="11" t="s">
        <v>232</v>
      </c>
      <c r="E57" s="11" t="s">
        <v>232</v>
      </c>
      <c r="F57" s="11" t="s">
        <v>232</v>
      </c>
      <c r="G57" s="11" t="s">
        <v>232</v>
      </c>
      <c r="H57" s="11" t="s">
        <v>232</v>
      </c>
      <c r="I57" s="11" t="s">
        <v>232</v>
      </c>
    </row>
    <row r="58" spans="2:10" ht="138" x14ac:dyDescent="0.3">
      <c r="B58" s="72" t="s">
        <v>243</v>
      </c>
      <c r="C58" s="11" t="s">
        <v>2474</v>
      </c>
      <c r="D58" s="11" t="s">
        <v>2475</v>
      </c>
      <c r="E58" s="11" t="s">
        <v>2476</v>
      </c>
      <c r="F58" s="11" t="s">
        <v>2477</v>
      </c>
      <c r="G58" s="11" t="s">
        <v>2478</v>
      </c>
      <c r="H58" s="11" t="s">
        <v>2479</v>
      </c>
      <c r="I58" s="11" t="s">
        <v>2480</v>
      </c>
    </row>
    <row r="60" spans="2:10" ht="27.6" customHeight="1" x14ac:dyDescent="0.3">
      <c r="B60" s="76" t="s">
        <v>254</v>
      </c>
      <c r="C60" s="76"/>
      <c r="D60" s="76"/>
      <c r="E60" s="76"/>
      <c r="F60" s="76"/>
      <c r="G60" s="76"/>
      <c r="H60" s="76"/>
      <c r="I60" s="76"/>
      <c r="J60" s="76"/>
    </row>
    <row r="61" spans="2:10" x14ac:dyDescent="0.3">
      <c r="B61" s="72" t="s">
        <v>255</v>
      </c>
      <c r="C61" s="72" t="s">
        <v>167</v>
      </c>
      <c r="D61" s="72" t="s">
        <v>169</v>
      </c>
      <c r="E61" s="72" t="s">
        <v>171</v>
      </c>
      <c r="F61" s="72" t="s">
        <v>177</v>
      </c>
      <c r="G61" s="72" t="s">
        <v>179</v>
      </c>
      <c r="H61" s="72" t="s">
        <v>175</v>
      </c>
      <c r="I61" s="72" t="s">
        <v>181</v>
      </c>
      <c r="J61" s="72" t="s">
        <v>183</v>
      </c>
    </row>
    <row r="62" spans="2:10" x14ac:dyDescent="0.3">
      <c r="B62" s="11" t="s">
        <v>1692</v>
      </c>
      <c r="C62" s="11" t="s">
        <v>2481</v>
      </c>
      <c r="D62" s="11" t="s">
        <v>2482</v>
      </c>
      <c r="E62" s="11" t="s">
        <v>2483</v>
      </c>
      <c r="F62" s="11" t="s">
        <v>2484</v>
      </c>
      <c r="G62" s="11" t="s">
        <v>223</v>
      </c>
      <c r="H62" s="11" t="s">
        <v>2471</v>
      </c>
      <c r="I62" s="11" t="s">
        <v>232</v>
      </c>
      <c r="J62" s="11" t="s">
        <v>232</v>
      </c>
    </row>
    <row r="63" spans="2:10" x14ac:dyDescent="0.3">
      <c r="B63" s="11" t="s">
        <v>1695</v>
      </c>
      <c r="C63" s="11" t="s">
        <v>2485</v>
      </c>
      <c r="D63" s="11" t="s">
        <v>2486</v>
      </c>
      <c r="E63" s="11" t="s">
        <v>232</v>
      </c>
      <c r="F63" s="11" t="s">
        <v>2487</v>
      </c>
      <c r="G63" s="11" t="s">
        <v>223</v>
      </c>
      <c r="H63" s="11" t="s">
        <v>2470</v>
      </c>
      <c r="I63" s="11" t="s">
        <v>232</v>
      </c>
      <c r="J63" s="11" t="s">
        <v>232</v>
      </c>
    </row>
    <row r="64" spans="2:10" x14ac:dyDescent="0.3">
      <c r="B64" s="11" t="s">
        <v>1698</v>
      </c>
      <c r="C64" s="11" t="s">
        <v>2488</v>
      </c>
      <c r="D64" s="11" t="s">
        <v>2489</v>
      </c>
      <c r="E64" s="11" t="s">
        <v>232</v>
      </c>
      <c r="F64" s="11" t="s">
        <v>2490</v>
      </c>
      <c r="G64" s="11" t="s">
        <v>223</v>
      </c>
      <c r="H64" s="11" t="s">
        <v>2471</v>
      </c>
      <c r="I64" s="11" t="s">
        <v>232</v>
      </c>
      <c r="J64" s="11" t="s">
        <v>232</v>
      </c>
    </row>
    <row r="65" spans="2:10" x14ac:dyDescent="0.3">
      <c r="B65" s="11" t="s">
        <v>1701</v>
      </c>
      <c r="C65" s="11" t="s">
        <v>2491</v>
      </c>
      <c r="D65" s="11" t="s">
        <v>2492</v>
      </c>
      <c r="E65" s="11" t="s">
        <v>232</v>
      </c>
      <c r="F65" s="11" t="s">
        <v>583</v>
      </c>
      <c r="G65" s="11" t="s">
        <v>223</v>
      </c>
      <c r="H65" s="11" t="s">
        <v>239</v>
      </c>
      <c r="I65" s="11" t="s">
        <v>232</v>
      </c>
      <c r="J65" s="11" t="s">
        <v>232</v>
      </c>
    </row>
    <row r="66" spans="2:10" x14ac:dyDescent="0.3">
      <c r="B66" s="11" t="s">
        <v>1704</v>
      </c>
      <c r="C66" s="11" t="s">
        <v>224</v>
      </c>
      <c r="D66" s="11" t="s">
        <v>955</v>
      </c>
      <c r="E66" s="11" t="s">
        <v>232</v>
      </c>
      <c r="F66" s="11" t="s">
        <v>1772</v>
      </c>
      <c r="G66" s="11" t="s">
        <v>223</v>
      </c>
      <c r="H66" s="11" t="s">
        <v>239</v>
      </c>
      <c r="I66" s="11" t="s">
        <v>232</v>
      </c>
      <c r="J66" s="11" t="s">
        <v>232</v>
      </c>
    </row>
    <row r="67" spans="2:10" x14ac:dyDescent="0.3">
      <c r="B67" s="11" t="s">
        <v>1707</v>
      </c>
      <c r="C67" s="11" t="s">
        <v>2493</v>
      </c>
      <c r="D67" s="11" t="s">
        <v>278</v>
      </c>
      <c r="E67" s="11" t="s">
        <v>2459</v>
      </c>
      <c r="F67" s="11" t="s">
        <v>2464</v>
      </c>
      <c r="G67" s="11" t="s">
        <v>236</v>
      </c>
      <c r="H67" s="11" t="s">
        <v>225</v>
      </c>
      <c r="I67" s="11" t="s">
        <v>1762</v>
      </c>
      <c r="J67" s="11" t="s">
        <v>232</v>
      </c>
    </row>
    <row r="68" spans="2:10" x14ac:dyDescent="0.3">
      <c r="B68" s="11" t="s">
        <v>1727</v>
      </c>
      <c r="C68" s="11" t="s">
        <v>277</v>
      </c>
      <c r="D68" s="11" t="s">
        <v>2494</v>
      </c>
      <c r="E68" s="11" t="s">
        <v>232</v>
      </c>
      <c r="F68" s="11" t="s">
        <v>2465</v>
      </c>
      <c r="G68" s="11" t="s">
        <v>2495</v>
      </c>
      <c r="H68" s="11" t="s">
        <v>236</v>
      </c>
      <c r="I68" s="11" t="s">
        <v>232</v>
      </c>
      <c r="J68" s="11" t="s">
        <v>232</v>
      </c>
    </row>
    <row r="70" spans="2:10" x14ac:dyDescent="0.3">
      <c r="B70" s="58" t="s">
        <v>264</v>
      </c>
    </row>
    <row r="71" spans="2:10" x14ac:dyDescent="0.3">
      <c r="B71" s="77" t="s">
        <v>196</v>
      </c>
      <c r="C71" s="77" t="s">
        <v>1728</v>
      </c>
      <c r="D71" s="77" t="s">
        <v>1773</v>
      </c>
      <c r="E71" s="77" t="s">
        <v>1774</v>
      </c>
      <c r="F71" s="77" t="s">
        <v>1775</v>
      </c>
      <c r="G71" s="77" t="s">
        <v>1776</v>
      </c>
      <c r="H71" s="77" t="s">
        <v>1777</v>
      </c>
    </row>
    <row r="72" spans="2:10" ht="55.2" x14ac:dyDescent="0.3">
      <c r="B72" s="77" t="s">
        <v>130</v>
      </c>
      <c r="C72" s="78" t="s">
        <v>2496</v>
      </c>
      <c r="D72" s="78" t="s">
        <v>2497</v>
      </c>
      <c r="E72" s="78" t="s">
        <v>2498</v>
      </c>
      <c r="F72" s="78" t="s">
        <v>2499</v>
      </c>
      <c r="G72" s="78" t="s">
        <v>2500</v>
      </c>
      <c r="H72" s="78" t="s">
        <v>2501</v>
      </c>
    </row>
    <row r="73" spans="2:10" ht="165.6" x14ac:dyDescent="0.3">
      <c r="B73" s="72" t="s">
        <v>208</v>
      </c>
      <c r="C73" s="11" t="s">
        <v>2502</v>
      </c>
      <c r="D73" s="11" t="s">
        <v>2503</v>
      </c>
      <c r="E73" s="11" t="s">
        <v>2504</v>
      </c>
      <c r="F73" s="11" t="s">
        <v>2505</v>
      </c>
      <c r="G73" s="11" t="s">
        <v>2506</v>
      </c>
      <c r="H73" s="11" t="s">
        <v>2507</v>
      </c>
    </row>
    <row r="74" spans="2:10" ht="27.6" x14ac:dyDescent="0.3">
      <c r="B74" s="72" t="s">
        <v>167</v>
      </c>
      <c r="C74" s="11" t="s">
        <v>2508</v>
      </c>
      <c r="D74" s="11" t="s">
        <v>2220</v>
      </c>
      <c r="E74" s="11" t="s">
        <v>2222</v>
      </c>
      <c r="F74" s="11" t="s">
        <v>2509</v>
      </c>
      <c r="G74" s="11" t="s">
        <v>2510</v>
      </c>
      <c r="H74" s="11" t="s">
        <v>2314</v>
      </c>
    </row>
    <row r="75" spans="2:10" ht="27.6" x14ac:dyDescent="0.3">
      <c r="B75" s="72" t="s">
        <v>169</v>
      </c>
      <c r="C75" s="11" t="s">
        <v>2511</v>
      </c>
      <c r="D75" s="11" t="s">
        <v>2512</v>
      </c>
      <c r="E75" s="11" t="s">
        <v>1917</v>
      </c>
      <c r="F75" s="11" t="s">
        <v>2513</v>
      </c>
      <c r="G75" s="11" t="s">
        <v>2514</v>
      </c>
      <c r="H75" s="11" t="s">
        <v>1471</v>
      </c>
    </row>
    <row r="76" spans="2:10" x14ac:dyDescent="0.3">
      <c r="B76" s="72" t="s">
        <v>231</v>
      </c>
      <c r="C76" s="11" t="s">
        <v>232</v>
      </c>
      <c r="D76" s="11" t="s">
        <v>232</v>
      </c>
      <c r="E76" s="11" t="s">
        <v>232</v>
      </c>
      <c r="F76" s="11" t="s">
        <v>232</v>
      </c>
      <c r="G76" s="11" t="s">
        <v>232</v>
      </c>
      <c r="H76" s="11" t="s">
        <v>232</v>
      </c>
    </row>
    <row r="77" spans="2:10" x14ac:dyDescent="0.3">
      <c r="B77" s="72" t="s">
        <v>177</v>
      </c>
      <c r="C77" s="11" t="s">
        <v>279</v>
      </c>
      <c r="D77" s="11" t="s">
        <v>279</v>
      </c>
      <c r="E77" s="11" t="s">
        <v>279</v>
      </c>
      <c r="F77" s="11" t="s">
        <v>233</v>
      </c>
      <c r="G77" s="11" t="s">
        <v>233</v>
      </c>
      <c r="H77" s="11" t="s">
        <v>228</v>
      </c>
    </row>
    <row r="78" spans="2:10" x14ac:dyDescent="0.3">
      <c r="B78" s="72" t="s">
        <v>179</v>
      </c>
      <c r="C78" s="11" t="s">
        <v>223</v>
      </c>
      <c r="D78" s="11" t="s">
        <v>223</v>
      </c>
      <c r="E78" s="11" t="s">
        <v>223</v>
      </c>
      <c r="F78" s="11" t="s">
        <v>223</v>
      </c>
      <c r="G78" s="11" t="s">
        <v>223</v>
      </c>
      <c r="H78" s="11" t="s">
        <v>228</v>
      </c>
    </row>
    <row r="79" spans="2:10" x14ac:dyDescent="0.3">
      <c r="B79" s="72" t="s">
        <v>238</v>
      </c>
      <c r="C79" s="11" t="s">
        <v>239</v>
      </c>
      <c r="D79" s="11" t="s">
        <v>239</v>
      </c>
      <c r="E79" s="11" t="s">
        <v>239</v>
      </c>
      <c r="F79" s="11" t="s">
        <v>239</v>
      </c>
      <c r="G79" s="11" t="s">
        <v>239</v>
      </c>
      <c r="H79" s="11" t="s">
        <v>449</v>
      </c>
    </row>
    <row r="80" spans="2:10" x14ac:dyDescent="0.3">
      <c r="B80" s="72" t="s">
        <v>181</v>
      </c>
      <c r="C80" s="11" t="s">
        <v>232</v>
      </c>
      <c r="D80" s="11" t="s">
        <v>232</v>
      </c>
      <c r="E80" s="11" t="s">
        <v>232</v>
      </c>
      <c r="F80" s="11" t="s">
        <v>232</v>
      </c>
      <c r="G80" s="11" t="s">
        <v>232</v>
      </c>
      <c r="H80" s="11" t="s">
        <v>232</v>
      </c>
    </row>
    <row r="81" spans="2:10" x14ac:dyDescent="0.3">
      <c r="B81" s="72" t="s">
        <v>183</v>
      </c>
      <c r="C81" s="11" t="s">
        <v>232</v>
      </c>
      <c r="D81" s="11" t="s">
        <v>232</v>
      </c>
      <c r="E81" s="11" t="s">
        <v>232</v>
      </c>
      <c r="F81" s="11" t="s">
        <v>232</v>
      </c>
      <c r="G81" s="11" t="s">
        <v>232</v>
      </c>
      <c r="H81" s="11" t="s">
        <v>232</v>
      </c>
    </row>
    <row r="82" spans="2:10" ht="138" x14ac:dyDescent="0.3">
      <c r="B82" s="72" t="s">
        <v>243</v>
      </c>
      <c r="C82" s="11" t="s">
        <v>2515</v>
      </c>
      <c r="D82" s="11" t="s">
        <v>2516</v>
      </c>
      <c r="E82" s="11" t="s">
        <v>2517</v>
      </c>
      <c r="F82" s="11" t="s">
        <v>2518</v>
      </c>
      <c r="G82" s="11" t="s">
        <v>2519</v>
      </c>
      <c r="H82" s="11" t="s">
        <v>2520</v>
      </c>
    </row>
    <row r="84" spans="2:10" x14ac:dyDescent="0.3">
      <c r="B84" s="76" t="s">
        <v>287</v>
      </c>
      <c r="C84" s="76"/>
      <c r="D84" s="76"/>
      <c r="E84" s="76"/>
      <c r="F84" s="76"/>
      <c r="G84" s="76"/>
      <c r="H84" s="76"/>
      <c r="I84" s="76"/>
      <c r="J84" s="76"/>
    </row>
    <row r="85" spans="2:10" x14ac:dyDescent="0.3">
      <c r="B85" s="72" t="s">
        <v>255</v>
      </c>
      <c r="C85" s="72" t="s">
        <v>167</v>
      </c>
      <c r="D85" s="72" t="s">
        <v>169</v>
      </c>
      <c r="E85" s="72" t="s">
        <v>171</v>
      </c>
      <c r="F85" s="72" t="s">
        <v>177</v>
      </c>
      <c r="G85" s="72" t="s">
        <v>179</v>
      </c>
      <c r="H85" s="72" t="s">
        <v>175</v>
      </c>
      <c r="I85" s="72" t="s">
        <v>181</v>
      </c>
      <c r="J85" s="72" t="s">
        <v>183</v>
      </c>
    </row>
    <row r="86" spans="2:10" x14ac:dyDescent="0.3">
      <c r="B86" s="11" t="s">
        <v>1728</v>
      </c>
      <c r="C86" s="11" t="s">
        <v>219</v>
      </c>
      <c r="D86" s="11" t="s">
        <v>2233</v>
      </c>
      <c r="E86" s="11" t="s">
        <v>232</v>
      </c>
      <c r="F86" s="11" t="s">
        <v>583</v>
      </c>
      <c r="G86" s="11" t="s">
        <v>223</v>
      </c>
      <c r="H86" s="11" t="s">
        <v>239</v>
      </c>
      <c r="I86" s="11" t="s">
        <v>232</v>
      </c>
      <c r="J86" s="11" t="s">
        <v>232</v>
      </c>
    </row>
    <row r="87" spans="2:10" x14ac:dyDescent="0.3">
      <c r="B87" s="11" t="s">
        <v>1773</v>
      </c>
      <c r="C87" s="11" t="s">
        <v>221</v>
      </c>
      <c r="D87" s="11" t="s">
        <v>2521</v>
      </c>
      <c r="E87" s="11" t="s">
        <v>232</v>
      </c>
      <c r="F87" s="11" t="s">
        <v>583</v>
      </c>
      <c r="G87" s="11" t="s">
        <v>223</v>
      </c>
      <c r="H87" s="11" t="s">
        <v>239</v>
      </c>
      <c r="I87" s="11" t="s">
        <v>232</v>
      </c>
      <c r="J87" s="11" t="s">
        <v>232</v>
      </c>
    </row>
    <row r="88" spans="2:10" x14ac:dyDescent="0.3">
      <c r="B88" s="11" t="s">
        <v>1774</v>
      </c>
      <c r="C88" s="11" t="s">
        <v>219</v>
      </c>
      <c r="D88" s="11" t="s">
        <v>278</v>
      </c>
      <c r="E88" s="11" t="s">
        <v>232</v>
      </c>
      <c r="F88" s="11" t="s">
        <v>583</v>
      </c>
      <c r="G88" s="11" t="s">
        <v>223</v>
      </c>
      <c r="H88" s="11" t="s">
        <v>239</v>
      </c>
      <c r="I88" s="11" t="s">
        <v>232</v>
      </c>
      <c r="J88" s="11" t="s">
        <v>232</v>
      </c>
    </row>
    <row r="89" spans="2:10" x14ac:dyDescent="0.3">
      <c r="B89" s="11" t="s">
        <v>1775</v>
      </c>
      <c r="C89" s="11" t="s">
        <v>219</v>
      </c>
      <c r="D89" s="11" t="s">
        <v>2233</v>
      </c>
      <c r="E89" s="11" t="s">
        <v>232</v>
      </c>
      <c r="F89" s="11" t="s">
        <v>233</v>
      </c>
      <c r="G89" s="11" t="s">
        <v>223</v>
      </c>
      <c r="H89" s="11" t="s">
        <v>239</v>
      </c>
      <c r="I89" s="11" t="s">
        <v>232</v>
      </c>
      <c r="J89" s="11" t="s">
        <v>232</v>
      </c>
    </row>
    <row r="90" spans="2:10" x14ac:dyDescent="0.3">
      <c r="B90" s="11" t="s">
        <v>1776</v>
      </c>
      <c r="C90" s="11" t="s">
        <v>221</v>
      </c>
      <c r="D90" s="11" t="s">
        <v>2514</v>
      </c>
      <c r="E90" s="11" t="s">
        <v>232</v>
      </c>
      <c r="F90" s="11" t="s">
        <v>233</v>
      </c>
      <c r="G90" s="11" t="s">
        <v>223</v>
      </c>
      <c r="H90" s="11" t="s">
        <v>239</v>
      </c>
      <c r="I90" s="11" t="s">
        <v>232</v>
      </c>
      <c r="J90" s="11" t="s">
        <v>232</v>
      </c>
    </row>
    <row r="91" spans="2:10" x14ac:dyDescent="0.3">
      <c r="B91" s="11" t="s">
        <v>1777</v>
      </c>
      <c r="C91" s="11" t="s">
        <v>219</v>
      </c>
      <c r="D91" s="11" t="s">
        <v>1471</v>
      </c>
      <c r="E91" s="11" t="s">
        <v>232</v>
      </c>
      <c r="F91" s="11" t="s">
        <v>228</v>
      </c>
      <c r="G91" s="11" t="s">
        <v>228</v>
      </c>
      <c r="H91" s="11" t="s">
        <v>449</v>
      </c>
      <c r="I91" s="11" t="s">
        <v>232</v>
      </c>
      <c r="J91" s="11" t="s">
        <v>232</v>
      </c>
    </row>
    <row r="93" spans="2:10" x14ac:dyDescent="0.3">
      <c r="B93" s="76" t="s">
        <v>288</v>
      </c>
      <c r="C93" s="76"/>
      <c r="D93" s="76"/>
      <c r="E93" s="76"/>
      <c r="F93" s="76"/>
      <c r="G93" s="76"/>
      <c r="H93" s="76"/>
      <c r="I93" s="76"/>
      <c r="J93" s="76"/>
    </row>
    <row r="94" spans="2:10" x14ac:dyDescent="0.3">
      <c r="B94" s="72" t="s">
        <v>289</v>
      </c>
      <c r="C94" s="72" t="s">
        <v>167</v>
      </c>
      <c r="D94" s="72" t="s">
        <v>169</v>
      </c>
      <c r="E94" s="72" t="s">
        <v>171</v>
      </c>
      <c r="F94" s="72" t="s">
        <v>177</v>
      </c>
      <c r="G94" s="72" t="s">
        <v>179</v>
      </c>
      <c r="H94" s="72" t="s">
        <v>175</v>
      </c>
      <c r="I94" s="72" t="s">
        <v>181</v>
      </c>
      <c r="J94" s="72" t="s">
        <v>183</v>
      </c>
    </row>
    <row r="95" spans="2:10" ht="27.6" x14ac:dyDescent="0.3">
      <c r="B95" s="11" t="s">
        <v>1692</v>
      </c>
      <c r="C95" s="11" t="s">
        <v>2522</v>
      </c>
      <c r="D95" s="11" t="s">
        <v>2523</v>
      </c>
      <c r="E95" s="11" t="s">
        <v>2524</v>
      </c>
      <c r="F95" s="11" t="s">
        <v>2525</v>
      </c>
      <c r="G95" s="11" t="s">
        <v>2526</v>
      </c>
      <c r="H95" s="11" t="s">
        <v>2527</v>
      </c>
      <c r="I95" s="11" t="s">
        <v>2528</v>
      </c>
      <c r="J95" s="11" t="s">
        <v>2529</v>
      </c>
    </row>
    <row r="96" spans="2:10" ht="27.6" x14ac:dyDescent="0.3">
      <c r="B96" s="11" t="s">
        <v>1695</v>
      </c>
      <c r="C96" s="11" t="s">
        <v>2530</v>
      </c>
      <c r="D96" s="11" t="s">
        <v>2531</v>
      </c>
      <c r="E96" s="11" t="s">
        <v>2532</v>
      </c>
      <c r="F96" s="11" t="s">
        <v>2533</v>
      </c>
      <c r="G96" s="11" t="s">
        <v>2466</v>
      </c>
      <c r="H96" s="11" t="s">
        <v>2534</v>
      </c>
      <c r="I96" s="11" t="s">
        <v>842</v>
      </c>
      <c r="J96" s="11" t="s">
        <v>842</v>
      </c>
    </row>
    <row r="97" spans="2:10" ht="27.6" x14ac:dyDescent="0.3">
      <c r="B97" s="11" t="s">
        <v>1698</v>
      </c>
      <c r="C97" s="11" t="s">
        <v>842</v>
      </c>
      <c r="D97" s="11" t="s">
        <v>2535</v>
      </c>
      <c r="E97" s="11" t="s">
        <v>842</v>
      </c>
      <c r="F97" s="11" t="s">
        <v>2536</v>
      </c>
      <c r="G97" s="11" t="s">
        <v>223</v>
      </c>
      <c r="H97" s="11" t="s">
        <v>2537</v>
      </c>
      <c r="I97" s="11" t="s">
        <v>842</v>
      </c>
      <c r="J97" s="11" t="s">
        <v>842</v>
      </c>
    </row>
    <row r="98" spans="2:10" ht="27.6" x14ac:dyDescent="0.3">
      <c r="B98" s="11" t="s">
        <v>1701</v>
      </c>
      <c r="C98" s="11" t="s">
        <v>842</v>
      </c>
      <c r="D98" s="11" t="s">
        <v>842</v>
      </c>
      <c r="E98" s="11" t="s">
        <v>842</v>
      </c>
      <c r="F98" s="11" t="s">
        <v>2538</v>
      </c>
      <c r="G98" s="11" t="s">
        <v>223</v>
      </c>
      <c r="H98" s="11" t="s">
        <v>239</v>
      </c>
      <c r="I98" s="11" t="s">
        <v>842</v>
      </c>
      <c r="J98" s="11" t="s">
        <v>842</v>
      </c>
    </row>
    <row r="100" spans="2:10" x14ac:dyDescent="0.3">
      <c r="B100" s="76" t="s">
        <v>306</v>
      </c>
      <c r="C100" s="76"/>
      <c r="D100" s="76"/>
      <c r="E100" s="76"/>
      <c r="F100" s="76"/>
      <c r="G100" s="76"/>
      <c r="H100" s="76"/>
    </row>
    <row r="101" spans="2:10" x14ac:dyDescent="0.3">
      <c r="B101" s="77" t="s">
        <v>255</v>
      </c>
      <c r="C101" s="77" t="s">
        <v>167</v>
      </c>
      <c r="D101" s="77" t="s">
        <v>307</v>
      </c>
      <c r="E101" s="77" t="s">
        <v>308</v>
      </c>
      <c r="F101" s="77" t="s">
        <v>309</v>
      </c>
      <c r="G101" s="77" t="s">
        <v>181</v>
      </c>
      <c r="H101" s="77" t="s">
        <v>310</v>
      </c>
    </row>
    <row r="102" spans="2:10" x14ac:dyDescent="0.3">
      <c r="B102" s="11">
        <v>1</v>
      </c>
      <c r="C102" s="11">
        <v>5</v>
      </c>
      <c r="D102" s="11">
        <v>5</v>
      </c>
      <c r="E102" s="11">
        <v>5</v>
      </c>
      <c r="F102" s="11">
        <v>5</v>
      </c>
      <c r="G102" s="11">
        <v>4</v>
      </c>
      <c r="H102" s="80">
        <f t="shared" ref="H102:H109" si="0">AVERAGE(C102:G102)</f>
        <v>4.8</v>
      </c>
    </row>
    <row r="103" spans="2:10" x14ac:dyDescent="0.3">
      <c r="B103" s="11">
        <v>2</v>
      </c>
      <c r="C103" s="11">
        <v>5</v>
      </c>
      <c r="D103" s="11">
        <v>4</v>
      </c>
      <c r="E103" s="11">
        <v>5</v>
      </c>
      <c r="F103" s="11">
        <v>5</v>
      </c>
      <c r="G103" s="11">
        <v>3</v>
      </c>
      <c r="H103" s="80">
        <f t="shared" si="0"/>
        <v>4.4000000000000004</v>
      </c>
    </row>
    <row r="104" spans="2:10" x14ac:dyDescent="0.3">
      <c r="B104" s="11">
        <v>3</v>
      </c>
      <c r="C104" s="11">
        <v>5</v>
      </c>
      <c r="D104" s="11">
        <v>4</v>
      </c>
      <c r="E104" s="11">
        <v>5</v>
      </c>
      <c r="F104" s="11">
        <v>5</v>
      </c>
      <c r="G104" s="11">
        <v>3</v>
      </c>
      <c r="H104" s="80">
        <f t="shared" si="0"/>
        <v>4.4000000000000004</v>
      </c>
    </row>
    <row r="105" spans="2:10" x14ac:dyDescent="0.3">
      <c r="B105" s="11">
        <v>4</v>
      </c>
      <c r="C105" s="11">
        <v>5</v>
      </c>
      <c r="D105" s="11">
        <v>3</v>
      </c>
      <c r="E105" s="11">
        <v>5</v>
      </c>
      <c r="F105" s="11">
        <v>5</v>
      </c>
      <c r="G105" s="11">
        <v>3</v>
      </c>
      <c r="H105" s="80">
        <f t="shared" si="0"/>
        <v>4.2</v>
      </c>
    </row>
    <row r="106" spans="2:10" x14ac:dyDescent="0.3">
      <c r="B106" s="11">
        <v>5</v>
      </c>
      <c r="C106" s="11">
        <v>4</v>
      </c>
      <c r="D106" s="11">
        <v>5</v>
      </c>
      <c r="E106" s="11">
        <v>4</v>
      </c>
      <c r="F106" s="11">
        <v>3</v>
      </c>
      <c r="G106" s="11">
        <v>3</v>
      </c>
      <c r="H106" s="80">
        <f t="shared" si="0"/>
        <v>3.8</v>
      </c>
    </row>
    <row r="107" spans="2:10" x14ac:dyDescent="0.3">
      <c r="B107" s="11">
        <v>6</v>
      </c>
      <c r="C107" s="11">
        <v>3</v>
      </c>
      <c r="D107" s="11">
        <v>5</v>
      </c>
      <c r="E107" s="11">
        <v>3</v>
      </c>
      <c r="F107" s="11">
        <v>2</v>
      </c>
      <c r="G107" s="11">
        <v>3</v>
      </c>
      <c r="H107" s="80">
        <f t="shared" si="0"/>
        <v>3.2</v>
      </c>
    </row>
    <row r="108" spans="2:10" x14ac:dyDescent="0.3">
      <c r="B108" s="11">
        <v>7</v>
      </c>
      <c r="C108" s="11">
        <v>3</v>
      </c>
      <c r="D108" s="11">
        <v>4</v>
      </c>
      <c r="E108" s="11">
        <v>3</v>
      </c>
      <c r="F108" s="11">
        <v>3</v>
      </c>
      <c r="G108" s="11">
        <v>3</v>
      </c>
      <c r="H108" s="80">
        <f t="shared" si="0"/>
        <v>3.2</v>
      </c>
    </row>
    <row r="109" spans="2:10" x14ac:dyDescent="0.3">
      <c r="B109" s="11">
        <v>8</v>
      </c>
      <c r="C109" s="11">
        <v>4</v>
      </c>
      <c r="D109" s="11">
        <v>3</v>
      </c>
      <c r="E109" s="11">
        <v>4</v>
      </c>
      <c r="F109" s="11">
        <v>5</v>
      </c>
      <c r="G109" s="11">
        <v>3</v>
      </c>
      <c r="H109" s="80">
        <f t="shared" si="0"/>
        <v>3.8</v>
      </c>
    </row>
  </sheetData>
  <mergeCells count="9">
    <mergeCell ref="B84:J84"/>
    <mergeCell ref="B93:J93"/>
    <mergeCell ref="B100:H100"/>
    <mergeCell ref="B1:C1"/>
    <mergeCell ref="B10:C10"/>
    <mergeCell ref="B17:D17"/>
    <mergeCell ref="B26:C26"/>
    <mergeCell ref="B39:C39"/>
    <mergeCell ref="B60:J60"/>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J111"/>
  <sheetViews>
    <sheetView topLeftCell="A90" zoomScale="64" zoomScaleNormal="100" workbookViewId="0">
      <selection activeCell="B104" sqref="B104:B111"/>
    </sheetView>
  </sheetViews>
  <sheetFormatPr defaultColWidth="8.5546875" defaultRowHeight="14.4" x14ac:dyDescent="0.3"/>
  <cols>
    <col min="1" max="1" width="4" customWidth="1"/>
    <col min="2" max="2" width="35" customWidth="1"/>
    <col min="3" max="3" width="50" customWidth="1"/>
    <col min="4" max="13" width="22" customWidth="1"/>
    <col min="14" max="16" width="18" customWidth="1"/>
  </cols>
  <sheetData>
    <row r="1" spans="2:3" x14ac:dyDescent="0.3">
      <c r="B1" s="76" t="s">
        <v>130</v>
      </c>
      <c r="C1" s="76"/>
    </row>
    <row r="2" spans="2:3" x14ac:dyDescent="0.3">
      <c r="B2" s="72" t="s">
        <v>131</v>
      </c>
      <c r="C2" s="11" t="s">
        <v>123</v>
      </c>
    </row>
    <row r="3" spans="2:3" ht="55.2" x14ac:dyDescent="0.3">
      <c r="B3" s="72" t="s">
        <v>132</v>
      </c>
      <c r="C3" s="11" t="s">
        <v>2539</v>
      </c>
    </row>
    <row r="4" spans="2:3" x14ac:dyDescent="0.3">
      <c r="B4" s="72" t="s">
        <v>134</v>
      </c>
      <c r="C4" s="11" t="s">
        <v>124</v>
      </c>
    </row>
    <row r="5" spans="2:3" ht="82.8" x14ac:dyDescent="0.3">
      <c r="B5" s="72" t="s">
        <v>136</v>
      </c>
      <c r="C5" s="11" t="s">
        <v>2540</v>
      </c>
    </row>
    <row r="6" spans="2:3" x14ac:dyDescent="0.3">
      <c r="B6" s="72" t="s">
        <v>138</v>
      </c>
      <c r="C6" s="11" t="s">
        <v>139</v>
      </c>
    </row>
    <row r="7" spans="2:3" ht="110.4" x14ac:dyDescent="0.3">
      <c r="B7" s="72" t="s">
        <v>140</v>
      </c>
      <c r="C7" s="11" t="s">
        <v>2541</v>
      </c>
    </row>
    <row r="9" spans="2:3" x14ac:dyDescent="0.3">
      <c r="B9" s="58" t="s">
        <v>142</v>
      </c>
    </row>
    <row r="10" spans="2:3" x14ac:dyDescent="0.3">
      <c r="B10" s="76" t="s">
        <v>143</v>
      </c>
      <c r="C10" s="76"/>
    </row>
    <row r="11" spans="2:3" ht="82.8" x14ac:dyDescent="0.3">
      <c r="B11" s="72" t="s">
        <v>2542</v>
      </c>
      <c r="C11" s="11" t="s">
        <v>2543</v>
      </c>
    </row>
    <row r="12" spans="2:3" ht="69" x14ac:dyDescent="0.3">
      <c r="B12" s="72" t="s">
        <v>2544</v>
      </c>
      <c r="C12" s="11" t="s">
        <v>2545</v>
      </c>
    </row>
    <row r="13" spans="2:3" ht="69" x14ac:dyDescent="0.3">
      <c r="B13" s="72" t="s">
        <v>2546</v>
      </c>
      <c r="C13" s="11" t="s">
        <v>2547</v>
      </c>
    </row>
    <row r="14" spans="2:3" ht="82.8" x14ac:dyDescent="0.3">
      <c r="B14" s="72" t="s">
        <v>2548</v>
      </c>
      <c r="C14" s="11" t="s">
        <v>2549</v>
      </c>
    </row>
    <row r="15" spans="2:3" ht="69" x14ac:dyDescent="0.3">
      <c r="B15" s="72" t="s">
        <v>2550</v>
      </c>
      <c r="C15" s="11" t="s">
        <v>2551</v>
      </c>
    </row>
    <row r="17" spans="2:4" x14ac:dyDescent="0.3">
      <c r="B17" s="76" t="s">
        <v>152</v>
      </c>
      <c r="C17" s="76"/>
      <c r="D17" s="76"/>
    </row>
    <row r="18" spans="2:4" x14ac:dyDescent="0.3">
      <c r="B18" s="72" t="s">
        <v>153</v>
      </c>
      <c r="C18" s="72" t="s">
        <v>154</v>
      </c>
      <c r="D18" s="72" t="s">
        <v>155</v>
      </c>
    </row>
    <row r="19" spans="2:4" ht="27.6" x14ac:dyDescent="0.3">
      <c r="B19" s="11" t="s">
        <v>1692</v>
      </c>
      <c r="C19" s="11" t="s">
        <v>2552</v>
      </c>
      <c r="D19" s="11" t="s">
        <v>2553</v>
      </c>
    </row>
    <row r="20" spans="2:4" ht="27.6" x14ac:dyDescent="0.3">
      <c r="B20" s="11" t="s">
        <v>1695</v>
      </c>
      <c r="C20" s="11" t="s">
        <v>2554</v>
      </c>
      <c r="D20" s="11" t="s">
        <v>2555</v>
      </c>
    </row>
    <row r="21" spans="2:4" ht="27.6" x14ac:dyDescent="0.3">
      <c r="B21" s="11" t="s">
        <v>1698</v>
      </c>
      <c r="C21" s="11" t="s">
        <v>2556</v>
      </c>
      <c r="D21" s="11" t="s">
        <v>2557</v>
      </c>
    </row>
    <row r="22" spans="2:4" ht="27.6" x14ac:dyDescent="0.3">
      <c r="B22" s="11" t="s">
        <v>1701</v>
      </c>
      <c r="C22" s="11" t="s">
        <v>2558</v>
      </c>
      <c r="D22" s="11" t="s">
        <v>2559</v>
      </c>
    </row>
    <row r="23" spans="2:4" ht="27.6" x14ac:dyDescent="0.3">
      <c r="B23" s="11" t="s">
        <v>1704</v>
      </c>
      <c r="C23" s="11" t="s">
        <v>2560</v>
      </c>
      <c r="D23" s="11" t="s">
        <v>2561</v>
      </c>
    </row>
    <row r="24" spans="2:4" ht="41.4" x14ac:dyDescent="0.3">
      <c r="B24" s="11" t="s">
        <v>1707</v>
      </c>
      <c r="C24" s="11" t="s">
        <v>2562</v>
      </c>
      <c r="D24" s="11" t="s">
        <v>2563</v>
      </c>
    </row>
    <row r="26" spans="2:4" x14ac:dyDescent="0.3">
      <c r="B26" s="58" t="s">
        <v>164</v>
      </c>
    </row>
    <row r="27" spans="2:4" x14ac:dyDescent="0.3">
      <c r="B27" s="77" t="s">
        <v>165</v>
      </c>
      <c r="C27" s="77" t="s">
        <v>166</v>
      </c>
    </row>
    <row r="28" spans="2:4" ht="96.6" x14ac:dyDescent="0.3">
      <c r="B28" s="72" t="s">
        <v>167</v>
      </c>
      <c r="C28" s="11" t="s">
        <v>2564</v>
      </c>
    </row>
    <row r="29" spans="2:4" ht="69" x14ac:dyDescent="0.3">
      <c r="B29" s="72" t="s">
        <v>169</v>
      </c>
      <c r="C29" s="11" t="s">
        <v>2565</v>
      </c>
    </row>
    <row r="30" spans="2:4" ht="69" x14ac:dyDescent="0.3">
      <c r="B30" s="72" t="s">
        <v>171</v>
      </c>
      <c r="C30" s="11" t="s">
        <v>2566</v>
      </c>
    </row>
    <row r="31" spans="2:4" ht="55.2" x14ac:dyDescent="0.3">
      <c r="B31" s="72" t="s">
        <v>173</v>
      </c>
      <c r="C31" s="11" t="s">
        <v>2567</v>
      </c>
    </row>
    <row r="32" spans="2:4" ht="69" x14ac:dyDescent="0.3">
      <c r="B32" s="72" t="s">
        <v>175</v>
      </c>
      <c r="C32" s="11" t="s">
        <v>2568</v>
      </c>
    </row>
    <row r="33" spans="2:10" ht="82.8" x14ac:dyDescent="0.3">
      <c r="B33" s="72" t="s">
        <v>177</v>
      </c>
      <c r="C33" s="11" t="s">
        <v>2569</v>
      </c>
    </row>
    <row r="34" spans="2:10" ht="55.2" x14ac:dyDescent="0.3">
      <c r="B34" s="72" t="s">
        <v>179</v>
      </c>
      <c r="C34" s="11" t="s">
        <v>2570</v>
      </c>
    </row>
    <row r="35" spans="2:10" ht="55.2" x14ac:dyDescent="0.3">
      <c r="B35" s="72" t="s">
        <v>181</v>
      </c>
      <c r="C35" s="11" t="s">
        <v>2571</v>
      </c>
    </row>
    <row r="36" spans="2:10" ht="41.4" x14ac:dyDescent="0.3">
      <c r="B36" s="72" t="s">
        <v>183</v>
      </c>
      <c r="C36" s="11" t="s">
        <v>2572</v>
      </c>
    </row>
    <row r="38" spans="2:10" x14ac:dyDescent="0.3">
      <c r="B38" s="58" t="s">
        <v>185</v>
      </c>
    </row>
    <row r="39" spans="2:10" x14ac:dyDescent="0.3">
      <c r="B39" s="76" t="s">
        <v>186</v>
      </c>
      <c r="C39" s="76"/>
    </row>
    <row r="40" spans="2:10" ht="82.8" x14ac:dyDescent="0.3">
      <c r="B40" s="84" t="s">
        <v>2573</v>
      </c>
      <c r="C40" s="86" t="s">
        <v>2574</v>
      </c>
    </row>
    <row r="41" spans="2:10" ht="96.6" x14ac:dyDescent="0.3">
      <c r="B41" s="84" t="s">
        <v>2575</v>
      </c>
      <c r="C41" s="86" t="s">
        <v>2576</v>
      </c>
    </row>
    <row r="42" spans="2:10" ht="96.6" x14ac:dyDescent="0.3">
      <c r="B42" s="84" t="s">
        <v>2577</v>
      </c>
      <c r="C42" s="86" t="s">
        <v>2578</v>
      </c>
    </row>
    <row r="43" spans="2:10" ht="96.6" x14ac:dyDescent="0.3">
      <c r="B43" s="84" t="s">
        <v>2579</v>
      </c>
      <c r="C43" s="86" t="s">
        <v>2580</v>
      </c>
    </row>
    <row r="44" spans="2:10" ht="96.6" x14ac:dyDescent="0.3">
      <c r="B44" s="84" t="s">
        <v>2581</v>
      </c>
      <c r="C44" s="86" t="s">
        <v>2582</v>
      </c>
    </row>
    <row r="45" spans="2:10" ht="96.6" x14ac:dyDescent="0.3">
      <c r="B45" s="84" t="s">
        <v>2583</v>
      </c>
      <c r="C45" s="86" t="s">
        <v>2584</v>
      </c>
    </row>
    <row r="47" spans="2:10" x14ac:dyDescent="0.3">
      <c r="B47" s="58" t="s">
        <v>195</v>
      </c>
    </row>
    <row r="48" spans="2:10" x14ac:dyDescent="0.3">
      <c r="B48" s="77" t="s">
        <v>196</v>
      </c>
      <c r="C48" s="77" t="s">
        <v>1692</v>
      </c>
      <c r="D48" s="77" t="s">
        <v>1695</v>
      </c>
      <c r="E48" s="77" t="s">
        <v>1698</v>
      </c>
      <c r="F48" s="77" t="s">
        <v>1701</v>
      </c>
      <c r="G48" s="77" t="s">
        <v>1704</v>
      </c>
      <c r="H48" s="77" t="s">
        <v>1707</v>
      </c>
      <c r="I48" s="77" t="s">
        <v>1727</v>
      </c>
      <c r="J48" s="77" t="s">
        <v>1728</v>
      </c>
    </row>
    <row r="49" spans="2:10" ht="55.2" x14ac:dyDescent="0.3">
      <c r="B49" s="77" t="s">
        <v>130</v>
      </c>
      <c r="C49" s="78" t="s">
        <v>2585</v>
      </c>
      <c r="D49" s="78" t="s">
        <v>2586</v>
      </c>
      <c r="E49" s="78" t="s">
        <v>2587</v>
      </c>
      <c r="F49" s="78" t="s">
        <v>2588</v>
      </c>
      <c r="G49" s="78" t="s">
        <v>2589</v>
      </c>
      <c r="H49" s="78" t="s">
        <v>2590</v>
      </c>
      <c r="I49" s="78" t="s">
        <v>2591</v>
      </c>
      <c r="J49" s="78" t="s">
        <v>2592</v>
      </c>
    </row>
    <row r="50" spans="2:10" ht="138" x14ac:dyDescent="0.3">
      <c r="B50" s="72" t="s">
        <v>208</v>
      </c>
      <c r="C50" s="11" t="s">
        <v>2593</v>
      </c>
      <c r="D50" s="11" t="s">
        <v>2594</v>
      </c>
      <c r="E50" s="11" t="s">
        <v>2595</v>
      </c>
      <c r="F50" s="11" t="s">
        <v>2596</v>
      </c>
      <c r="G50" s="11" t="s">
        <v>2597</v>
      </c>
      <c r="H50" s="11" t="s">
        <v>2598</v>
      </c>
      <c r="I50" s="11" t="s">
        <v>2599</v>
      </c>
      <c r="J50" s="11" t="s">
        <v>2600</v>
      </c>
    </row>
    <row r="51" spans="2:10" ht="27.6" x14ac:dyDescent="0.3">
      <c r="B51" s="72" t="s">
        <v>167</v>
      </c>
      <c r="C51" s="11" t="s">
        <v>2601</v>
      </c>
      <c r="D51" s="11" t="s">
        <v>2602</v>
      </c>
      <c r="E51" s="11" t="s">
        <v>2603</v>
      </c>
      <c r="F51" s="11" t="s">
        <v>2604</v>
      </c>
      <c r="G51" s="11" t="s">
        <v>2605</v>
      </c>
      <c r="H51" s="11" t="s">
        <v>2606</v>
      </c>
      <c r="I51" s="11" t="s">
        <v>2607</v>
      </c>
      <c r="J51" s="11" t="s">
        <v>2608</v>
      </c>
    </row>
    <row r="52" spans="2:10" x14ac:dyDescent="0.3">
      <c r="B52" s="72" t="s">
        <v>169</v>
      </c>
      <c r="C52" s="11" t="s">
        <v>2609</v>
      </c>
      <c r="D52" s="11" t="s">
        <v>2610</v>
      </c>
      <c r="E52" s="11" t="s">
        <v>2611</v>
      </c>
      <c r="F52" s="11" t="s">
        <v>954</v>
      </c>
      <c r="G52" s="11" t="s">
        <v>2612</v>
      </c>
      <c r="H52" s="11" t="s">
        <v>221</v>
      </c>
      <c r="I52" s="11" t="s">
        <v>1300</v>
      </c>
      <c r="J52" s="11" t="s">
        <v>221</v>
      </c>
    </row>
    <row r="53" spans="2:10" x14ac:dyDescent="0.3">
      <c r="B53" s="72" t="s">
        <v>231</v>
      </c>
      <c r="C53" s="11" t="s">
        <v>1793</v>
      </c>
      <c r="D53" s="11" t="s">
        <v>2459</v>
      </c>
      <c r="E53" s="11" t="s">
        <v>232</v>
      </c>
      <c r="F53" s="11" t="s">
        <v>232</v>
      </c>
      <c r="G53" s="11" t="s">
        <v>232</v>
      </c>
      <c r="H53" s="11" t="s">
        <v>232</v>
      </c>
      <c r="I53" s="11" t="s">
        <v>232</v>
      </c>
      <c r="J53" s="11" t="s">
        <v>232</v>
      </c>
    </row>
    <row r="54" spans="2:10" ht="27.6" x14ac:dyDescent="0.3">
      <c r="B54" s="72" t="s">
        <v>177</v>
      </c>
      <c r="C54" s="11" t="s">
        <v>2613</v>
      </c>
      <c r="D54" s="11" t="s">
        <v>2614</v>
      </c>
      <c r="E54" s="11" t="s">
        <v>2615</v>
      </c>
      <c r="F54" s="11" t="s">
        <v>2616</v>
      </c>
      <c r="G54" s="11" t="s">
        <v>2617</v>
      </c>
      <c r="H54" s="11" t="s">
        <v>233</v>
      </c>
      <c r="I54" s="11" t="s">
        <v>1755</v>
      </c>
      <c r="J54" s="11" t="s">
        <v>2618</v>
      </c>
    </row>
    <row r="55" spans="2:10" x14ac:dyDescent="0.3">
      <c r="B55" s="72" t="s">
        <v>179</v>
      </c>
      <c r="C55" s="11" t="s">
        <v>236</v>
      </c>
      <c r="D55" s="11" t="s">
        <v>236</v>
      </c>
      <c r="E55" s="11" t="s">
        <v>236</v>
      </c>
      <c r="F55" s="11" t="s">
        <v>236</v>
      </c>
      <c r="G55" s="11" t="s">
        <v>236</v>
      </c>
      <c r="H55" s="11" t="s">
        <v>236</v>
      </c>
      <c r="I55" s="11" t="s">
        <v>236</v>
      </c>
      <c r="J55" s="11" t="s">
        <v>236</v>
      </c>
    </row>
    <row r="56" spans="2:10" x14ac:dyDescent="0.3">
      <c r="B56" s="72" t="s">
        <v>238</v>
      </c>
      <c r="C56" s="11" t="s">
        <v>2619</v>
      </c>
      <c r="D56" s="11" t="s">
        <v>2620</v>
      </c>
      <c r="E56" s="11" t="s">
        <v>1890</v>
      </c>
      <c r="F56" s="11" t="s">
        <v>239</v>
      </c>
      <c r="G56" s="11" t="s">
        <v>2621</v>
      </c>
      <c r="H56" s="11" t="s">
        <v>225</v>
      </c>
      <c r="I56" s="11" t="s">
        <v>2622</v>
      </c>
      <c r="J56" s="11" t="s">
        <v>239</v>
      </c>
    </row>
    <row r="57" spans="2:10" x14ac:dyDescent="0.3">
      <c r="B57" s="72" t="s">
        <v>181</v>
      </c>
      <c r="C57" s="11" t="s">
        <v>2623</v>
      </c>
      <c r="D57" s="11" t="s">
        <v>1762</v>
      </c>
      <c r="E57" s="11" t="s">
        <v>232</v>
      </c>
      <c r="F57" s="11" t="s">
        <v>232</v>
      </c>
      <c r="G57" s="11" t="s">
        <v>232</v>
      </c>
      <c r="H57" s="11" t="s">
        <v>232</v>
      </c>
      <c r="I57" s="11" t="s">
        <v>232</v>
      </c>
      <c r="J57" s="11" t="s">
        <v>232</v>
      </c>
    </row>
    <row r="58" spans="2:10" x14ac:dyDescent="0.3">
      <c r="B58" s="72" t="s">
        <v>183</v>
      </c>
      <c r="C58" s="11" t="s">
        <v>232</v>
      </c>
      <c r="D58" s="11" t="s">
        <v>232</v>
      </c>
      <c r="E58" s="11" t="s">
        <v>232</v>
      </c>
      <c r="F58" s="11" t="s">
        <v>232</v>
      </c>
      <c r="G58" s="11" t="s">
        <v>232</v>
      </c>
      <c r="H58" s="11" t="s">
        <v>232</v>
      </c>
      <c r="I58" s="11" t="s">
        <v>232</v>
      </c>
      <c r="J58" s="11" t="s">
        <v>232</v>
      </c>
    </row>
    <row r="59" spans="2:10" ht="138" x14ac:dyDescent="0.3">
      <c r="B59" s="72" t="s">
        <v>243</v>
      </c>
      <c r="C59" s="11" t="s">
        <v>2624</v>
      </c>
      <c r="D59" s="11" t="s">
        <v>2625</v>
      </c>
      <c r="E59" s="11" t="s">
        <v>2626</v>
      </c>
      <c r="F59" s="11" t="s">
        <v>2627</v>
      </c>
      <c r="G59" s="11" t="s">
        <v>2628</v>
      </c>
      <c r="H59" s="11" t="s">
        <v>2629</v>
      </c>
      <c r="I59" s="11" t="s">
        <v>2630</v>
      </c>
      <c r="J59" s="11" t="s">
        <v>2631</v>
      </c>
    </row>
    <row r="61" spans="2:10" ht="27.6" customHeight="1" x14ac:dyDescent="0.3">
      <c r="B61" s="76" t="s">
        <v>254</v>
      </c>
      <c r="C61" s="76"/>
      <c r="D61" s="76"/>
      <c r="E61" s="76"/>
      <c r="F61" s="76"/>
      <c r="G61" s="76"/>
      <c r="H61" s="76"/>
      <c r="I61" s="76"/>
      <c r="J61" s="76"/>
    </row>
    <row r="62" spans="2:10" x14ac:dyDescent="0.3">
      <c r="B62" s="72" t="s">
        <v>255</v>
      </c>
      <c r="C62" s="72" t="s">
        <v>167</v>
      </c>
      <c r="D62" s="72" t="s">
        <v>169</v>
      </c>
      <c r="E62" s="72" t="s">
        <v>171</v>
      </c>
      <c r="F62" s="72" t="s">
        <v>177</v>
      </c>
      <c r="G62" s="72" t="s">
        <v>179</v>
      </c>
      <c r="H62" s="72" t="s">
        <v>175</v>
      </c>
      <c r="I62" s="72" t="s">
        <v>181</v>
      </c>
      <c r="J62" s="72" t="s">
        <v>183</v>
      </c>
    </row>
    <row r="63" spans="2:10" x14ac:dyDescent="0.3">
      <c r="B63" s="11" t="s">
        <v>1692</v>
      </c>
      <c r="C63" s="11" t="s">
        <v>2632</v>
      </c>
      <c r="D63" s="11" t="s">
        <v>2609</v>
      </c>
      <c r="E63" s="11" t="s">
        <v>2633</v>
      </c>
      <c r="F63" s="11" t="s">
        <v>2613</v>
      </c>
      <c r="G63" s="11" t="s">
        <v>236</v>
      </c>
      <c r="H63" s="11" t="s">
        <v>2634</v>
      </c>
      <c r="I63" s="11" t="s">
        <v>2635</v>
      </c>
      <c r="J63" s="11" t="s">
        <v>232</v>
      </c>
    </row>
    <row r="64" spans="2:10" x14ac:dyDescent="0.3">
      <c r="B64" s="11" t="s">
        <v>1695</v>
      </c>
      <c r="C64" s="11" t="s">
        <v>2636</v>
      </c>
      <c r="D64" s="11" t="s">
        <v>2637</v>
      </c>
      <c r="E64" s="11" t="s">
        <v>2459</v>
      </c>
      <c r="F64" s="11" t="s">
        <v>2614</v>
      </c>
      <c r="G64" s="11" t="s">
        <v>236</v>
      </c>
      <c r="H64" s="11" t="s">
        <v>2620</v>
      </c>
      <c r="I64" s="11" t="s">
        <v>1762</v>
      </c>
      <c r="J64" s="11" t="s">
        <v>232</v>
      </c>
    </row>
    <row r="65" spans="2:10" x14ac:dyDescent="0.3">
      <c r="B65" s="11" t="s">
        <v>1698</v>
      </c>
      <c r="C65" s="11" t="s">
        <v>2638</v>
      </c>
      <c r="D65" s="11" t="s">
        <v>2611</v>
      </c>
      <c r="E65" s="11" t="s">
        <v>232</v>
      </c>
      <c r="F65" s="11" t="s">
        <v>2615</v>
      </c>
      <c r="G65" s="11" t="s">
        <v>236</v>
      </c>
      <c r="H65" s="11" t="s">
        <v>1890</v>
      </c>
      <c r="I65" s="11" t="s">
        <v>232</v>
      </c>
      <c r="J65" s="11" t="s">
        <v>232</v>
      </c>
    </row>
    <row r="66" spans="2:10" x14ac:dyDescent="0.3">
      <c r="B66" s="11" t="s">
        <v>1701</v>
      </c>
      <c r="C66" s="11" t="s">
        <v>2639</v>
      </c>
      <c r="D66" s="11" t="s">
        <v>954</v>
      </c>
      <c r="E66" s="11" t="s">
        <v>232</v>
      </c>
      <c r="F66" s="11" t="s">
        <v>2616</v>
      </c>
      <c r="G66" s="11" t="s">
        <v>236</v>
      </c>
      <c r="H66" s="11" t="s">
        <v>239</v>
      </c>
      <c r="I66" s="11" t="s">
        <v>232</v>
      </c>
      <c r="J66" s="11" t="s">
        <v>232</v>
      </c>
    </row>
    <row r="67" spans="2:10" x14ac:dyDescent="0.3">
      <c r="B67" s="11" t="s">
        <v>1704</v>
      </c>
      <c r="C67" s="11" t="s">
        <v>219</v>
      </c>
      <c r="D67" s="11" t="s">
        <v>2640</v>
      </c>
      <c r="E67" s="11" t="s">
        <v>232</v>
      </c>
      <c r="F67" s="11" t="s">
        <v>2641</v>
      </c>
      <c r="G67" s="11" t="s">
        <v>236</v>
      </c>
      <c r="H67" s="11" t="s">
        <v>2621</v>
      </c>
      <c r="I67" s="11" t="s">
        <v>232</v>
      </c>
      <c r="J67" s="11" t="s">
        <v>232</v>
      </c>
    </row>
    <row r="68" spans="2:10" x14ac:dyDescent="0.3">
      <c r="B68" s="11" t="s">
        <v>1707</v>
      </c>
      <c r="C68" s="11" t="s">
        <v>221</v>
      </c>
      <c r="D68" s="11" t="s">
        <v>221</v>
      </c>
      <c r="E68" s="11" t="s">
        <v>232</v>
      </c>
      <c r="F68" s="11" t="s">
        <v>233</v>
      </c>
      <c r="G68" s="11" t="s">
        <v>236</v>
      </c>
      <c r="H68" s="11" t="s">
        <v>225</v>
      </c>
      <c r="I68" s="11" t="s">
        <v>232</v>
      </c>
      <c r="J68" s="11" t="s">
        <v>232</v>
      </c>
    </row>
    <row r="69" spans="2:10" x14ac:dyDescent="0.3">
      <c r="B69" s="11" t="s">
        <v>1727</v>
      </c>
      <c r="C69" s="11" t="s">
        <v>219</v>
      </c>
      <c r="D69" s="11" t="s">
        <v>229</v>
      </c>
      <c r="E69" s="11" t="s">
        <v>232</v>
      </c>
      <c r="F69" s="11" t="s">
        <v>1755</v>
      </c>
      <c r="G69" s="11" t="s">
        <v>236</v>
      </c>
      <c r="H69" s="11" t="s">
        <v>225</v>
      </c>
      <c r="I69" s="11" t="s">
        <v>232</v>
      </c>
      <c r="J69" s="11" t="s">
        <v>232</v>
      </c>
    </row>
    <row r="70" spans="2:10" x14ac:dyDescent="0.3">
      <c r="B70" s="11" t="s">
        <v>1728</v>
      </c>
      <c r="C70" s="11" t="s">
        <v>221</v>
      </c>
      <c r="D70" s="11" t="s">
        <v>221</v>
      </c>
      <c r="E70" s="11" t="s">
        <v>232</v>
      </c>
      <c r="F70" s="11" t="s">
        <v>2642</v>
      </c>
      <c r="G70" s="11" t="s">
        <v>236</v>
      </c>
      <c r="H70" s="11" t="s">
        <v>239</v>
      </c>
      <c r="I70" s="11" t="s">
        <v>232</v>
      </c>
      <c r="J70" s="11" t="s">
        <v>232</v>
      </c>
    </row>
    <row r="72" spans="2:10" x14ac:dyDescent="0.3">
      <c r="B72" s="58" t="s">
        <v>264</v>
      </c>
    </row>
    <row r="73" spans="2:10" x14ac:dyDescent="0.3">
      <c r="B73" s="77" t="s">
        <v>196</v>
      </c>
      <c r="C73" s="77" t="s">
        <v>1773</v>
      </c>
      <c r="D73" s="77" t="s">
        <v>1774</v>
      </c>
      <c r="E73" s="77" t="s">
        <v>1775</v>
      </c>
      <c r="F73" s="77" t="s">
        <v>1776</v>
      </c>
      <c r="G73" s="77" t="s">
        <v>1777</v>
      </c>
      <c r="H73" s="77" t="s">
        <v>1778</v>
      </c>
    </row>
    <row r="74" spans="2:10" ht="69" x14ac:dyDescent="0.3">
      <c r="B74" s="77" t="s">
        <v>130</v>
      </c>
      <c r="C74" s="78" t="s">
        <v>2643</v>
      </c>
      <c r="D74" s="78" t="s">
        <v>2644</v>
      </c>
      <c r="E74" s="78" t="s">
        <v>2645</v>
      </c>
      <c r="F74" s="78" t="s">
        <v>2646</v>
      </c>
      <c r="G74" s="78" t="s">
        <v>2647</v>
      </c>
      <c r="H74" s="78" t="s">
        <v>2648</v>
      </c>
    </row>
    <row r="75" spans="2:10" ht="138" x14ac:dyDescent="0.3">
      <c r="B75" s="72" t="s">
        <v>208</v>
      </c>
      <c r="C75" s="11" t="s">
        <v>2649</v>
      </c>
      <c r="D75" s="11" t="s">
        <v>2650</v>
      </c>
      <c r="E75" s="11" t="s">
        <v>2651</v>
      </c>
      <c r="F75" s="11" t="s">
        <v>2652</v>
      </c>
      <c r="G75" s="11" t="s">
        <v>2653</v>
      </c>
      <c r="H75" s="11" t="s">
        <v>2654</v>
      </c>
    </row>
    <row r="76" spans="2:10" ht="27.6" x14ac:dyDescent="0.3">
      <c r="B76" s="72" t="s">
        <v>167</v>
      </c>
      <c r="C76" s="11" t="s">
        <v>1750</v>
      </c>
      <c r="D76" s="11" t="s">
        <v>1791</v>
      </c>
      <c r="E76" s="11" t="s">
        <v>2655</v>
      </c>
      <c r="F76" s="11" t="s">
        <v>221</v>
      </c>
      <c r="G76" s="11" t="s">
        <v>2656</v>
      </c>
      <c r="H76" s="11" t="s">
        <v>2657</v>
      </c>
    </row>
    <row r="77" spans="2:10" x14ac:dyDescent="0.3">
      <c r="B77" s="72" t="s">
        <v>169</v>
      </c>
      <c r="C77" s="11" t="s">
        <v>2658</v>
      </c>
      <c r="D77" s="11" t="s">
        <v>1621</v>
      </c>
      <c r="E77" s="11" t="s">
        <v>2659</v>
      </c>
      <c r="F77" s="11" t="s">
        <v>221</v>
      </c>
      <c r="G77" s="11" t="s">
        <v>229</v>
      </c>
      <c r="H77" s="11" t="s">
        <v>221</v>
      </c>
    </row>
    <row r="78" spans="2:10" x14ac:dyDescent="0.3">
      <c r="B78" s="72" t="s">
        <v>231</v>
      </c>
      <c r="C78" s="11" t="s">
        <v>232</v>
      </c>
      <c r="D78" s="11" t="s">
        <v>2633</v>
      </c>
      <c r="E78" s="11" t="s">
        <v>232</v>
      </c>
      <c r="F78" s="11" t="s">
        <v>232</v>
      </c>
      <c r="G78" s="11" t="s">
        <v>232</v>
      </c>
      <c r="H78" s="11" t="s">
        <v>232</v>
      </c>
    </row>
    <row r="79" spans="2:10" ht="27.6" x14ac:dyDescent="0.3">
      <c r="B79" s="72" t="s">
        <v>177</v>
      </c>
      <c r="C79" s="11" t="s">
        <v>279</v>
      </c>
      <c r="D79" s="11" t="s">
        <v>279</v>
      </c>
      <c r="E79" s="11" t="s">
        <v>2660</v>
      </c>
      <c r="F79" s="11" t="s">
        <v>233</v>
      </c>
      <c r="G79" s="11" t="s">
        <v>279</v>
      </c>
      <c r="H79" s="11" t="s">
        <v>279</v>
      </c>
    </row>
    <row r="80" spans="2:10" x14ac:dyDescent="0.3">
      <c r="B80" s="72" t="s">
        <v>179</v>
      </c>
      <c r="C80" s="11" t="s">
        <v>236</v>
      </c>
      <c r="D80" s="11" t="s">
        <v>236</v>
      </c>
      <c r="E80" s="11" t="s">
        <v>236</v>
      </c>
      <c r="F80" s="11" t="s">
        <v>236</v>
      </c>
      <c r="G80" s="11" t="s">
        <v>236</v>
      </c>
      <c r="H80" s="11" t="s">
        <v>223</v>
      </c>
    </row>
    <row r="81" spans="2:10" x14ac:dyDescent="0.3">
      <c r="B81" s="72" t="s">
        <v>238</v>
      </c>
      <c r="C81" s="11" t="s">
        <v>239</v>
      </c>
      <c r="D81" s="11" t="s">
        <v>239</v>
      </c>
      <c r="E81" s="11" t="s">
        <v>239</v>
      </c>
      <c r="F81" s="11" t="s">
        <v>449</v>
      </c>
      <c r="G81" s="11" t="s">
        <v>239</v>
      </c>
      <c r="H81" s="11" t="s">
        <v>239</v>
      </c>
    </row>
    <row r="82" spans="2:10" x14ac:dyDescent="0.3">
      <c r="B82" s="72" t="s">
        <v>181</v>
      </c>
      <c r="C82" s="11" t="s">
        <v>232</v>
      </c>
      <c r="D82" s="11" t="s">
        <v>232</v>
      </c>
      <c r="E82" s="11" t="s">
        <v>450</v>
      </c>
      <c r="F82" s="11" t="s">
        <v>232</v>
      </c>
      <c r="G82" s="11" t="s">
        <v>450</v>
      </c>
      <c r="H82" s="11" t="s">
        <v>450</v>
      </c>
    </row>
    <row r="83" spans="2:10" x14ac:dyDescent="0.3">
      <c r="B83" s="72" t="s">
        <v>183</v>
      </c>
      <c r="C83" s="11" t="s">
        <v>232</v>
      </c>
      <c r="D83" s="11" t="s">
        <v>232</v>
      </c>
      <c r="E83" s="11" t="s">
        <v>232</v>
      </c>
      <c r="F83" s="11" t="s">
        <v>232</v>
      </c>
      <c r="G83" s="11" t="s">
        <v>232</v>
      </c>
      <c r="H83" s="11" t="s">
        <v>232</v>
      </c>
    </row>
    <row r="84" spans="2:10" ht="138" x14ac:dyDescent="0.3">
      <c r="B84" s="72" t="s">
        <v>243</v>
      </c>
      <c r="C84" s="11" t="s">
        <v>2661</v>
      </c>
      <c r="D84" s="11" t="s">
        <v>2662</v>
      </c>
      <c r="E84" s="11" t="s">
        <v>2663</v>
      </c>
      <c r="F84" s="11" t="s">
        <v>2664</v>
      </c>
      <c r="G84" s="11" t="s">
        <v>2665</v>
      </c>
      <c r="H84" s="11" t="s">
        <v>2666</v>
      </c>
    </row>
    <row r="86" spans="2:10" x14ac:dyDescent="0.3">
      <c r="B86" s="76" t="s">
        <v>287</v>
      </c>
      <c r="C86" s="76"/>
      <c r="D86" s="76"/>
      <c r="E86" s="76"/>
      <c r="F86" s="76"/>
      <c r="G86" s="76"/>
      <c r="H86" s="76"/>
      <c r="I86" s="76"/>
      <c r="J86" s="76"/>
    </row>
    <row r="87" spans="2:10" x14ac:dyDescent="0.3">
      <c r="B87" s="72" t="s">
        <v>255</v>
      </c>
      <c r="C87" s="72" t="s">
        <v>167</v>
      </c>
      <c r="D87" s="72" t="s">
        <v>169</v>
      </c>
      <c r="E87" s="72" t="s">
        <v>171</v>
      </c>
      <c r="F87" s="72" t="s">
        <v>177</v>
      </c>
      <c r="G87" s="72" t="s">
        <v>179</v>
      </c>
      <c r="H87" s="72" t="s">
        <v>175</v>
      </c>
      <c r="I87" s="72" t="s">
        <v>181</v>
      </c>
      <c r="J87" s="72" t="s">
        <v>183</v>
      </c>
    </row>
    <row r="88" spans="2:10" x14ac:dyDescent="0.3">
      <c r="B88" s="11" t="s">
        <v>1773</v>
      </c>
      <c r="C88" s="11" t="s">
        <v>277</v>
      </c>
      <c r="D88" s="11" t="s">
        <v>229</v>
      </c>
      <c r="E88" s="11" t="s">
        <v>232</v>
      </c>
      <c r="F88" s="11" t="s">
        <v>583</v>
      </c>
      <c r="G88" s="11" t="s">
        <v>236</v>
      </c>
      <c r="H88" s="11" t="s">
        <v>239</v>
      </c>
      <c r="I88" s="11" t="s">
        <v>232</v>
      </c>
      <c r="J88" s="11" t="s">
        <v>232</v>
      </c>
    </row>
    <row r="89" spans="2:10" x14ac:dyDescent="0.3">
      <c r="B89" s="11" t="s">
        <v>1774</v>
      </c>
      <c r="C89" s="11" t="s">
        <v>223</v>
      </c>
      <c r="D89" s="11" t="s">
        <v>229</v>
      </c>
      <c r="E89" s="11" t="s">
        <v>2633</v>
      </c>
      <c r="F89" s="11" t="s">
        <v>583</v>
      </c>
      <c r="G89" s="11" t="s">
        <v>236</v>
      </c>
      <c r="H89" s="11" t="s">
        <v>239</v>
      </c>
      <c r="I89" s="11" t="s">
        <v>232</v>
      </c>
      <c r="J89" s="11" t="s">
        <v>232</v>
      </c>
    </row>
    <row r="90" spans="2:10" ht="27.6" x14ac:dyDescent="0.3">
      <c r="B90" s="11" t="s">
        <v>1775</v>
      </c>
      <c r="C90" s="11" t="s">
        <v>224</v>
      </c>
      <c r="D90" s="11" t="s">
        <v>955</v>
      </c>
      <c r="E90" s="11" t="s">
        <v>232</v>
      </c>
      <c r="F90" s="11" t="s">
        <v>2667</v>
      </c>
      <c r="G90" s="11" t="s">
        <v>236</v>
      </c>
      <c r="H90" s="11" t="s">
        <v>239</v>
      </c>
      <c r="I90" s="11" t="s">
        <v>450</v>
      </c>
      <c r="J90" s="11" t="s">
        <v>232</v>
      </c>
    </row>
    <row r="91" spans="2:10" x14ac:dyDescent="0.3">
      <c r="B91" s="11" t="s">
        <v>1776</v>
      </c>
      <c r="C91" s="11" t="s">
        <v>221</v>
      </c>
      <c r="D91" s="11" t="s">
        <v>221</v>
      </c>
      <c r="E91" s="11" t="s">
        <v>232</v>
      </c>
      <c r="F91" s="11" t="s">
        <v>233</v>
      </c>
      <c r="G91" s="11" t="s">
        <v>236</v>
      </c>
      <c r="H91" s="11" t="s">
        <v>2234</v>
      </c>
      <c r="I91" s="11" t="s">
        <v>232</v>
      </c>
      <c r="J91" s="11" t="s">
        <v>232</v>
      </c>
    </row>
    <row r="92" spans="2:10" x14ac:dyDescent="0.3">
      <c r="B92" s="11" t="s">
        <v>1777</v>
      </c>
      <c r="C92" s="11" t="s">
        <v>2668</v>
      </c>
      <c r="D92" s="11" t="s">
        <v>229</v>
      </c>
      <c r="E92" s="11" t="s">
        <v>232</v>
      </c>
      <c r="F92" s="11" t="s">
        <v>583</v>
      </c>
      <c r="G92" s="11" t="s">
        <v>236</v>
      </c>
      <c r="H92" s="11" t="s">
        <v>239</v>
      </c>
      <c r="I92" s="11" t="s">
        <v>450</v>
      </c>
      <c r="J92" s="11" t="s">
        <v>232</v>
      </c>
    </row>
    <row r="93" spans="2:10" x14ac:dyDescent="0.3">
      <c r="B93" s="11" t="s">
        <v>1778</v>
      </c>
      <c r="C93" s="11" t="s">
        <v>221</v>
      </c>
      <c r="D93" s="11" t="s">
        <v>221</v>
      </c>
      <c r="E93" s="11" t="s">
        <v>232</v>
      </c>
      <c r="F93" s="11" t="s">
        <v>583</v>
      </c>
      <c r="G93" s="11" t="s">
        <v>223</v>
      </c>
      <c r="H93" s="11" t="s">
        <v>239</v>
      </c>
      <c r="I93" s="11" t="s">
        <v>450</v>
      </c>
      <c r="J93" s="11" t="s">
        <v>232</v>
      </c>
    </row>
    <row r="95" spans="2:10" x14ac:dyDescent="0.3">
      <c r="B95" s="76" t="s">
        <v>288</v>
      </c>
      <c r="C95" s="76"/>
      <c r="D95" s="76"/>
      <c r="E95" s="76"/>
      <c r="F95" s="76"/>
      <c r="G95" s="76"/>
      <c r="H95" s="76"/>
      <c r="I95" s="76"/>
      <c r="J95" s="76"/>
    </row>
    <row r="96" spans="2:10" x14ac:dyDescent="0.3">
      <c r="B96" s="72" t="s">
        <v>289</v>
      </c>
      <c r="C96" s="72" t="s">
        <v>167</v>
      </c>
      <c r="D96" s="72" t="s">
        <v>169</v>
      </c>
      <c r="E96" s="72" t="s">
        <v>171</v>
      </c>
      <c r="F96" s="72" t="s">
        <v>177</v>
      </c>
      <c r="G96" s="72" t="s">
        <v>179</v>
      </c>
      <c r="H96" s="72" t="s">
        <v>175</v>
      </c>
      <c r="I96" s="72" t="s">
        <v>181</v>
      </c>
      <c r="J96" s="72" t="s">
        <v>183</v>
      </c>
    </row>
    <row r="97" spans="2:10" x14ac:dyDescent="0.3">
      <c r="B97" s="11" t="s">
        <v>1692</v>
      </c>
      <c r="C97" s="11" t="s">
        <v>2669</v>
      </c>
      <c r="D97" s="11" t="s">
        <v>2670</v>
      </c>
      <c r="E97" s="11" t="s">
        <v>2671</v>
      </c>
      <c r="F97" s="11" t="s">
        <v>2672</v>
      </c>
      <c r="G97" s="11" t="s">
        <v>223</v>
      </c>
      <c r="H97" s="11" t="s">
        <v>2673</v>
      </c>
      <c r="I97" s="11" t="s">
        <v>232</v>
      </c>
      <c r="J97" s="11" t="s">
        <v>219</v>
      </c>
    </row>
    <row r="98" spans="2:10" ht="27.6" x14ac:dyDescent="0.3">
      <c r="B98" s="11" t="s">
        <v>1695</v>
      </c>
      <c r="C98" s="11" t="s">
        <v>2674</v>
      </c>
      <c r="D98" s="11" t="s">
        <v>2675</v>
      </c>
      <c r="E98" s="11" t="s">
        <v>2676</v>
      </c>
      <c r="F98" s="11" t="s">
        <v>2613</v>
      </c>
      <c r="G98" s="11" t="s">
        <v>236</v>
      </c>
      <c r="H98" s="11" t="s">
        <v>2677</v>
      </c>
      <c r="I98" s="11" t="s">
        <v>966</v>
      </c>
      <c r="J98" s="11" t="s">
        <v>232</v>
      </c>
    </row>
    <row r="99" spans="2:10" ht="27.6" x14ac:dyDescent="0.3">
      <c r="B99" s="11" t="s">
        <v>1698</v>
      </c>
      <c r="C99" s="11" t="s">
        <v>2678</v>
      </c>
      <c r="D99" s="11" t="s">
        <v>2679</v>
      </c>
      <c r="E99" s="11" t="s">
        <v>2680</v>
      </c>
      <c r="F99" s="11" t="s">
        <v>2681</v>
      </c>
      <c r="G99" s="11" t="s">
        <v>236</v>
      </c>
      <c r="H99" s="11" t="s">
        <v>2682</v>
      </c>
      <c r="I99" s="11" t="s">
        <v>2683</v>
      </c>
      <c r="J99" s="11" t="s">
        <v>232</v>
      </c>
    </row>
    <row r="100" spans="2:10" x14ac:dyDescent="0.3">
      <c r="B100" s="11" t="s">
        <v>1701</v>
      </c>
      <c r="C100" s="11" t="s">
        <v>1475</v>
      </c>
      <c r="D100" s="11" t="s">
        <v>2684</v>
      </c>
      <c r="E100" s="11" t="s">
        <v>2685</v>
      </c>
      <c r="F100" s="11" t="s">
        <v>279</v>
      </c>
      <c r="G100" s="11" t="s">
        <v>223</v>
      </c>
      <c r="H100" s="11" t="s">
        <v>239</v>
      </c>
      <c r="I100" s="11" t="s">
        <v>225</v>
      </c>
      <c r="J100" s="11" t="s">
        <v>232</v>
      </c>
    </row>
    <row r="102" spans="2:10" x14ac:dyDescent="0.3">
      <c r="B102" s="76" t="s">
        <v>306</v>
      </c>
      <c r="C102" s="76"/>
      <c r="D102" s="76"/>
      <c r="E102" s="76"/>
      <c r="F102" s="76"/>
      <c r="G102" s="76"/>
      <c r="H102" s="76"/>
    </row>
    <row r="103" spans="2:10" x14ac:dyDescent="0.3">
      <c r="B103" s="77" t="s">
        <v>255</v>
      </c>
      <c r="C103" s="77" t="s">
        <v>167</v>
      </c>
      <c r="D103" s="77" t="s">
        <v>307</v>
      </c>
      <c r="E103" s="77" t="s">
        <v>308</v>
      </c>
      <c r="F103" s="77" t="s">
        <v>309</v>
      </c>
      <c r="G103" s="77" t="s">
        <v>181</v>
      </c>
      <c r="H103" s="77" t="s">
        <v>310</v>
      </c>
    </row>
    <row r="104" spans="2:10" x14ac:dyDescent="0.3">
      <c r="B104" s="11">
        <v>1</v>
      </c>
      <c r="C104" s="11">
        <v>5</v>
      </c>
      <c r="D104" s="11">
        <v>4</v>
      </c>
      <c r="E104" s="11">
        <v>5</v>
      </c>
      <c r="F104" s="11">
        <v>4</v>
      </c>
      <c r="G104" s="11">
        <v>3</v>
      </c>
      <c r="H104" s="80">
        <f t="shared" ref="H104:H111" si="0">AVERAGE(C104:G104)</f>
        <v>4.2</v>
      </c>
    </row>
    <row r="105" spans="2:10" x14ac:dyDescent="0.3">
      <c r="B105" s="11">
        <v>2</v>
      </c>
      <c r="C105" s="11">
        <v>4</v>
      </c>
      <c r="D105" s="11">
        <v>5</v>
      </c>
      <c r="E105" s="11">
        <v>4</v>
      </c>
      <c r="F105" s="11">
        <v>4</v>
      </c>
      <c r="G105" s="11">
        <v>4</v>
      </c>
      <c r="H105" s="80">
        <f t="shared" si="0"/>
        <v>4.2</v>
      </c>
    </row>
    <row r="106" spans="2:10" x14ac:dyDescent="0.3">
      <c r="B106" s="11">
        <v>3</v>
      </c>
      <c r="C106" s="11">
        <v>5</v>
      </c>
      <c r="D106" s="11">
        <v>5</v>
      </c>
      <c r="E106" s="11">
        <v>4</v>
      </c>
      <c r="F106" s="11">
        <v>2</v>
      </c>
      <c r="G106" s="11">
        <v>4</v>
      </c>
      <c r="H106" s="80">
        <f t="shared" si="0"/>
        <v>4</v>
      </c>
    </row>
    <row r="107" spans="2:10" x14ac:dyDescent="0.3">
      <c r="B107" s="11">
        <v>4</v>
      </c>
      <c r="C107" s="11">
        <v>4</v>
      </c>
      <c r="D107" s="11">
        <v>4</v>
      </c>
      <c r="E107" s="11">
        <v>5</v>
      </c>
      <c r="F107" s="11">
        <v>4</v>
      </c>
      <c r="G107" s="11">
        <v>3</v>
      </c>
      <c r="H107" s="80">
        <f t="shared" si="0"/>
        <v>4</v>
      </c>
    </row>
    <row r="108" spans="2:10" x14ac:dyDescent="0.3">
      <c r="B108" s="11">
        <v>5</v>
      </c>
      <c r="C108" s="11">
        <v>4</v>
      </c>
      <c r="D108" s="11">
        <v>4</v>
      </c>
      <c r="E108" s="11">
        <v>5</v>
      </c>
      <c r="F108" s="11">
        <v>4</v>
      </c>
      <c r="G108" s="11">
        <v>3</v>
      </c>
      <c r="H108" s="80">
        <f t="shared" si="0"/>
        <v>4</v>
      </c>
    </row>
    <row r="109" spans="2:10" x14ac:dyDescent="0.3">
      <c r="B109" s="11">
        <v>6</v>
      </c>
      <c r="C109" s="11">
        <v>2</v>
      </c>
      <c r="D109" s="11">
        <v>5</v>
      </c>
      <c r="E109" s="11">
        <v>3</v>
      </c>
      <c r="F109" s="11">
        <v>2</v>
      </c>
      <c r="G109" s="11">
        <v>3</v>
      </c>
      <c r="H109" s="80">
        <f t="shared" si="0"/>
        <v>3</v>
      </c>
    </row>
    <row r="110" spans="2:10" x14ac:dyDescent="0.3">
      <c r="B110" s="11">
        <v>7</v>
      </c>
      <c r="C110" s="11">
        <v>2</v>
      </c>
      <c r="D110" s="11">
        <v>5</v>
      </c>
      <c r="E110" s="11">
        <v>3</v>
      </c>
      <c r="F110" s="11">
        <v>2</v>
      </c>
      <c r="G110" s="11">
        <v>4</v>
      </c>
      <c r="H110" s="80">
        <f t="shared" si="0"/>
        <v>3.2</v>
      </c>
    </row>
    <row r="111" spans="2:10" x14ac:dyDescent="0.3">
      <c r="B111" s="11">
        <v>8</v>
      </c>
      <c r="C111" s="11">
        <v>1</v>
      </c>
      <c r="D111" s="11">
        <v>5</v>
      </c>
      <c r="E111" s="11">
        <v>2</v>
      </c>
      <c r="F111" s="11">
        <v>1</v>
      </c>
      <c r="G111" s="11">
        <v>4</v>
      </c>
      <c r="H111" s="80">
        <f t="shared" si="0"/>
        <v>2.6</v>
      </c>
    </row>
  </sheetData>
  <mergeCells count="8">
    <mergeCell ref="B95:J95"/>
    <mergeCell ref="B102:H102"/>
    <mergeCell ref="B1:C1"/>
    <mergeCell ref="B10:C10"/>
    <mergeCell ref="B17:D17"/>
    <mergeCell ref="B39:C39"/>
    <mergeCell ref="B61:J61"/>
    <mergeCell ref="B86:J86"/>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BD8C9-57DB-4099-9015-B40B88E4C285}">
  <dimension ref="B1:T127"/>
  <sheetViews>
    <sheetView tabSelected="1" topLeftCell="A119" zoomScale="64" workbookViewId="0">
      <selection activeCell="C122" sqref="C122"/>
    </sheetView>
  </sheetViews>
  <sheetFormatPr defaultColWidth="8.5546875" defaultRowHeight="14.4" x14ac:dyDescent="0.3"/>
  <cols>
    <col min="1" max="1" width="4" customWidth="1"/>
    <col min="2" max="2" width="35" customWidth="1"/>
    <col min="3" max="3" width="52" customWidth="1"/>
    <col min="4" max="21" width="22" customWidth="1"/>
  </cols>
  <sheetData>
    <row r="1" spans="2:3" x14ac:dyDescent="0.3">
      <c r="B1" s="76" t="s">
        <v>130</v>
      </c>
      <c r="C1" s="76"/>
    </row>
    <row r="2" spans="2:3" x14ac:dyDescent="0.3">
      <c r="B2" s="72" t="s">
        <v>131</v>
      </c>
      <c r="C2" s="11" t="s">
        <v>3019</v>
      </c>
    </row>
    <row r="3" spans="2:3" ht="55.2" x14ac:dyDescent="0.3">
      <c r="B3" s="72" t="s">
        <v>132</v>
      </c>
      <c r="C3" s="11" t="s">
        <v>2686</v>
      </c>
    </row>
    <row r="4" spans="2:3" ht="41.4" x14ac:dyDescent="0.3">
      <c r="B4" s="72" t="s">
        <v>134</v>
      </c>
      <c r="C4" s="11" t="s">
        <v>2687</v>
      </c>
    </row>
    <row r="5" spans="2:3" ht="96.6" x14ac:dyDescent="0.3">
      <c r="B5" s="72" t="s">
        <v>136</v>
      </c>
      <c r="C5" s="11" t="s">
        <v>2688</v>
      </c>
    </row>
    <row r="6" spans="2:3" x14ac:dyDescent="0.3">
      <c r="B6" s="72" t="s">
        <v>138</v>
      </c>
      <c r="C6" s="11" t="s">
        <v>139</v>
      </c>
    </row>
    <row r="7" spans="2:3" ht="151.80000000000001" x14ac:dyDescent="0.3">
      <c r="B7" s="72" t="s">
        <v>140</v>
      </c>
      <c r="C7" s="11" t="s">
        <v>2689</v>
      </c>
    </row>
    <row r="9" spans="2:3" x14ac:dyDescent="0.3">
      <c r="B9" s="58" t="s">
        <v>142</v>
      </c>
    </row>
    <row r="10" spans="2:3" x14ac:dyDescent="0.3">
      <c r="B10" s="76" t="s">
        <v>143</v>
      </c>
      <c r="C10" s="76"/>
    </row>
    <row r="11" spans="2:3" ht="69" x14ac:dyDescent="0.3">
      <c r="B11" s="72" t="s">
        <v>2690</v>
      </c>
      <c r="C11" s="11" t="s">
        <v>2691</v>
      </c>
    </row>
    <row r="12" spans="2:3" ht="69" x14ac:dyDescent="0.3">
      <c r="B12" s="72" t="s">
        <v>2692</v>
      </c>
      <c r="C12" s="11" t="s">
        <v>2693</v>
      </c>
    </row>
    <row r="13" spans="2:3" ht="96.6" x14ac:dyDescent="0.3">
      <c r="B13" s="72" t="s">
        <v>2694</v>
      </c>
      <c r="C13" s="11" t="s">
        <v>2695</v>
      </c>
    </row>
    <row r="14" spans="2:3" ht="110.4" x14ac:dyDescent="0.3">
      <c r="B14" s="72" t="s">
        <v>2696</v>
      </c>
      <c r="C14" s="11" t="s">
        <v>2697</v>
      </c>
    </row>
    <row r="15" spans="2:3" ht="69" x14ac:dyDescent="0.3">
      <c r="B15" s="72" t="s">
        <v>2698</v>
      </c>
      <c r="C15" s="11" t="s">
        <v>2699</v>
      </c>
    </row>
    <row r="16" spans="2:3" ht="96.6" x14ac:dyDescent="0.3">
      <c r="B16" s="72" t="s">
        <v>2700</v>
      </c>
      <c r="C16" s="11" t="s">
        <v>2701</v>
      </c>
    </row>
    <row r="18" spans="2:4" x14ac:dyDescent="0.3">
      <c r="B18" s="76" t="s">
        <v>152</v>
      </c>
      <c r="C18" s="76"/>
      <c r="D18" s="76"/>
    </row>
    <row r="19" spans="2:4" x14ac:dyDescent="0.3">
      <c r="B19" s="72" t="s">
        <v>153</v>
      </c>
      <c r="C19" s="72" t="s">
        <v>154</v>
      </c>
      <c r="D19" s="72" t="s">
        <v>155</v>
      </c>
    </row>
    <row r="20" spans="2:4" ht="41.4" x14ac:dyDescent="0.3">
      <c r="B20" s="11" t="s">
        <v>1692</v>
      </c>
      <c r="C20" s="11" t="s">
        <v>2702</v>
      </c>
      <c r="D20" s="11" t="s">
        <v>2703</v>
      </c>
    </row>
    <row r="21" spans="2:4" ht="27.6" x14ac:dyDescent="0.3">
      <c r="B21" s="11" t="s">
        <v>1695</v>
      </c>
      <c r="C21" s="11" t="s">
        <v>2704</v>
      </c>
      <c r="D21" s="11" t="s">
        <v>2705</v>
      </c>
    </row>
    <row r="22" spans="2:4" ht="27.6" x14ac:dyDescent="0.3">
      <c r="B22" s="11" t="s">
        <v>1698</v>
      </c>
      <c r="C22" s="11" t="s">
        <v>2706</v>
      </c>
      <c r="D22" s="11" t="s">
        <v>2707</v>
      </c>
    </row>
    <row r="23" spans="2:4" ht="41.4" x14ac:dyDescent="0.3">
      <c r="B23" s="11" t="s">
        <v>1701</v>
      </c>
      <c r="C23" s="11" t="s">
        <v>2708</v>
      </c>
      <c r="D23" s="11" t="s">
        <v>2709</v>
      </c>
    </row>
    <row r="24" spans="2:4" ht="27.6" x14ac:dyDescent="0.3">
      <c r="B24" s="11" t="s">
        <v>1704</v>
      </c>
      <c r="C24" s="11" t="s">
        <v>2710</v>
      </c>
      <c r="D24" s="11" t="s">
        <v>2711</v>
      </c>
    </row>
    <row r="25" spans="2:4" ht="27.6" x14ac:dyDescent="0.3">
      <c r="B25" s="11" t="s">
        <v>1707</v>
      </c>
      <c r="C25" s="11" t="s">
        <v>2712</v>
      </c>
      <c r="D25" s="11" t="s">
        <v>2713</v>
      </c>
    </row>
    <row r="26" spans="2:4" ht="27.6" x14ac:dyDescent="0.3">
      <c r="B26" s="11" t="s">
        <v>1727</v>
      </c>
      <c r="C26" s="11" t="s">
        <v>2714</v>
      </c>
      <c r="D26" s="11" t="s">
        <v>2715</v>
      </c>
    </row>
    <row r="28" spans="2:4" x14ac:dyDescent="0.3">
      <c r="B28" s="76" t="s">
        <v>164</v>
      </c>
      <c r="C28" s="76"/>
    </row>
    <row r="29" spans="2:4" x14ac:dyDescent="0.3">
      <c r="B29" s="72" t="s">
        <v>165</v>
      </c>
      <c r="C29" s="72" t="s">
        <v>166</v>
      </c>
    </row>
    <row r="30" spans="2:4" ht="55.2" x14ac:dyDescent="0.3">
      <c r="B30" s="72" t="s">
        <v>167</v>
      </c>
      <c r="C30" s="11" t="s">
        <v>2716</v>
      </c>
    </row>
    <row r="31" spans="2:4" ht="55.2" x14ac:dyDescent="0.3">
      <c r="B31" s="72" t="s">
        <v>169</v>
      </c>
      <c r="C31" s="11" t="s">
        <v>2717</v>
      </c>
    </row>
    <row r="32" spans="2:4" ht="69" x14ac:dyDescent="0.3">
      <c r="B32" s="72" t="s">
        <v>171</v>
      </c>
      <c r="C32" s="11" t="s">
        <v>2718</v>
      </c>
    </row>
    <row r="33" spans="2:3" ht="55.2" x14ac:dyDescent="0.3">
      <c r="B33" s="72" t="s">
        <v>173</v>
      </c>
      <c r="C33" s="11" t="s">
        <v>2719</v>
      </c>
    </row>
    <row r="34" spans="2:3" ht="55.2" x14ac:dyDescent="0.3">
      <c r="B34" s="72" t="s">
        <v>175</v>
      </c>
      <c r="C34" s="11" t="s">
        <v>2720</v>
      </c>
    </row>
    <row r="35" spans="2:3" ht="69" x14ac:dyDescent="0.3">
      <c r="B35" s="72" t="s">
        <v>177</v>
      </c>
      <c r="C35" s="11" t="s">
        <v>2721</v>
      </c>
    </row>
    <row r="36" spans="2:3" ht="41.4" x14ac:dyDescent="0.3">
      <c r="B36" s="72" t="s">
        <v>179</v>
      </c>
      <c r="C36" s="11" t="s">
        <v>2722</v>
      </c>
    </row>
    <row r="37" spans="2:3" ht="55.2" x14ac:dyDescent="0.3">
      <c r="B37" s="72" t="s">
        <v>181</v>
      </c>
      <c r="C37" s="11" t="s">
        <v>2723</v>
      </c>
    </row>
    <row r="38" spans="2:3" x14ac:dyDescent="0.3">
      <c r="B38" s="72" t="s">
        <v>183</v>
      </c>
      <c r="C38" s="11" t="s">
        <v>2724</v>
      </c>
    </row>
    <row r="40" spans="2:3" x14ac:dyDescent="0.3">
      <c r="B40" s="58" t="s">
        <v>185</v>
      </c>
    </row>
    <row r="41" spans="2:3" x14ac:dyDescent="0.3">
      <c r="B41" s="76" t="s">
        <v>186</v>
      </c>
      <c r="C41" s="76"/>
    </row>
    <row r="42" spans="2:3" ht="110.4" x14ac:dyDescent="0.3">
      <c r="B42" s="72" t="s">
        <v>187</v>
      </c>
      <c r="C42" s="11" t="s">
        <v>2725</v>
      </c>
    </row>
    <row r="43" spans="2:3" ht="82.8" x14ac:dyDescent="0.3">
      <c r="B43" s="72" t="s">
        <v>751</v>
      </c>
      <c r="C43" s="11" t="s">
        <v>2726</v>
      </c>
    </row>
    <row r="44" spans="2:3" ht="69" x14ac:dyDescent="0.3">
      <c r="B44" s="72" t="s">
        <v>753</v>
      </c>
      <c r="C44" s="11" t="s">
        <v>2727</v>
      </c>
    </row>
    <row r="45" spans="2:3" ht="151.80000000000001" x14ac:dyDescent="0.3">
      <c r="B45" s="72" t="s">
        <v>2728</v>
      </c>
      <c r="C45" s="11" t="s">
        <v>2729</v>
      </c>
    </row>
    <row r="46" spans="2:3" ht="179.4" x14ac:dyDescent="0.3">
      <c r="B46" s="72" t="s">
        <v>2730</v>
      </c>
      <c r="C46" s="11" t="s">
        <v>2731</v>
      </c>
    </row>
    <row r="47" spans="2:3" ht="82.8" x14ac:dyDescent="0.3">
      <c r="B47" s="72" t="s">
        <v>2732</v>
      </c>
      <c r="C47" s="11" t="s">
        <v>2733</v>
      </c>
    </row>
    <row r="48" spans="2:3" ht="110.4" x14ac:dyDescent="0.3">
      <c r="B48" s="72" t="s">
        <v>758</v>
      </c>
      <c r="C48" s="11" t="s">
        <v>2734</v>
      </c>
    </row>
    <row r="49" spans="2:12" ht="138" x14ac:dyDescent="0.3">
      <c r="B49" s="72" t="s">
        <v>390</v>
      </c>
      <c r="C49" s="11" t="s">
        <v>2735</v>
      </c>
    </row>
    <row r="51" spans="2:12" x14ac:dyDescent="0.3">
      <c r="B51" s="58" t="s">
        <v>195</v>
      </c>
    </row>
    <row r="52" spans="2:12" x14ac:dyDescent="0.3">
      <c r="B52" s="77" t="s">
        <v>196</v>
      </c>
      <c r="C52" s="77" t="s">
        <v>1692</v>
      </c>
      <c r="D52" s="77" t="s">
        <v>1695</v>
      </c>
      <c r="E52" s="77" t="s">
        <v>1698</v>
      </c>
      <c r="F52" s="77" t="s">
        <v>1701</v>
      </c>
      <c r="G52" s="77" t="s">
        <v>1704</v>
      </c>
      <c r="H52" s="77" t="s">
        <v>1707</v>
      </c>
      <c r="I52" s="77" t="s">
        <v>1727</v>
      </c>
      <c r="J52" s="77" t="s">
        <v>1728</v>
      </c>
      <c r="K52" s="77" t="s">
        <v>1773</v>
      </c>
      <c r="L52" s="77" t="s">
        <v>1774</v>
      </c>
    </row>
    <row r="53" spans="2:12" ht="55.2" x14ac:dyDescent="0.3">
      <c r="B53" s="77" t="s">
        <v>130</v>
      </c>
      <c r="C53" s="78" t="s">
        <v>2736</v>
      </c>
      <c r="D53" s="78" t="s">
        <v>2737</v>
      </c>
      <c r="E53" s="78" t="s">
        <v>2738</v>
      </c>
      <c r="F53" s="78" t="s">
        <v>2739</v>
      </c>
      <c r="G53" s="78" t="s">
        <v>2740</v>
      </c>
      <c r="H53" s="78" t="s">
        <v>2741</v>
      </c>
      <c r="I53" s="78" t="s">
        <v>2742</v>
      </c>
      <c r="J53" s="78" t="s">
        <v>2743</v>
      </c>
      <c r="K53" s="78" t="s">
        <v>2744</v>
      </c>
      <c r="L53" s="78" t="s">
        <v>2745</v>
      </c>
    </row>
    <row r="54" spans="2:12" ht="138" x14ac:dyDescent="0.3">
      <c r="B54" s="72" t="s">
        <v>208</v>
      </c>
      <c r="C54" s="11" t="s">
        <v>2746</v>
      </c>
      <c r="D54" s="11" t="s">
        <v>2747</v>
      </c>
      <c r="E54" s="11" t="s">
        <v>2748</v>
      </c>
      <c r="F54" s="11" t="s">
        <v>2749</v>
      </c>
      <c r="G54" s="11" t="s">
        <v>2750</v>
      </c>
      <c r="H54" s="11" t="s">
        <v>2751</v>
      </c>
      <c r="I54" s="11" t="s">
        <v>2752</v>
      </c>
      <c r="J54" s="11" t="s">
        <v>2753</v>
      </c>
      <c r="K54" s="11" t="s">
        <v>2754</v>
      </c>
      <c r="L54" s="11" t="s">
        <v>2755</v>
      </c>
    </row>
    <row r="55" spans="2:12" ht="27.6" x14ac:dyDescent="0.3">
      <c r="B55" s="72" t="s">
        <v>167</v>
      </c>
      <c r="C55" s="11" t="s">
        <v>2756</v>
      </c>
      <c r="D55" s="11" t="s">
        <v>2757</v>
      </c>
      <c r="E55" s="11" t="s">
        <v>2758</v>
      </c>
      <c r="F55" s="11" t="s">
        <v>2759</v>
      </c>
      <c r="G55" s="11" t="s">
        <v>2760</v>
      </c>
      <c r="H55" s="11" t="s">
        <v>2761</v>
      </c>
      <c r="I55" s="11" t="s">
        <v>2762</v>
      </c>
      <c r="J55" s="11" t="s">
        <v>2763</v>
      </c>
      <c r="K55" s="11" t="s">
        <v>2764</v>
      </c>
      <c r="L55" s="11" t="s">
        <v>2057</v>
      </c>
    </row>
    <row r="56" spans="2:12" ht="27.6" x14ac:dyDescent="0.3">
      <c r="B56" s="72" t="s">
        <v>169</v>
      </c>
      <c r="C56" s="11" t="s">
        <v>2765</v>
      </c>
      <c r="D56" s="11" t="s">
        <v>2766</v>
      </c>
      <c r="E56" s="11" t="s">
        <v>2456</v>
      </c>
      <c r="F56" s="11" t="s">
        <v>2767</v>
      </c>
      <c r="G56" s="11" t="s">
        <v>2768</v>
      </c>
      <c r="H56" s="11" t="s">
        <v>1471</v>
      </c>
      <c r="I56" s="11" t="s">
        <v>2769</v>
      </c>
      <c r="J56" s="11" t="s">
        <v>1752</v>
      </c>
      <c r="K56" s="11" t="s">
        <v>2770</v>
      </c>
      <c r="L56" s="11" t="s">
        <v>221</v>
      </c>
    </row>
    <row r="57" spans="2:12" ht="27.6" x14ac:dyDescent="0.3">
      <c r="B57" s="72" t="s">
        <v>231</v>
      </c>
      <c r="C57" s="11" t="s">
        <v>2771</v>
      </c>
      <c r="D57" s="11" t="s">
        <v>2772</v>
      </c>
      <c r="E57" s="11" t="s">
        <v>2773</v>
      </c>
      <c r="F57" s="11" t="s">
        <v>232</v>
      </c>
      <c r="G57" s="11" t="s">
        <v>2774</v>
      </c>
      <c r="H57" s="11" t="s">
        <v>232</v>
      </c>
      <c r="I57" s="11" t="s">
        <v>221</v>
      </c>
      <c r="J57" s="11" t="s">
        <v>2323</v>
      </c>
      <c r="K57" s="11" t="s">
        <v>232</v>
      </c>
      <c r="L57" s="11" t="s">
        <v>232</v>
      </c>
    </row>
    <row r="58" spans="2:12" ht="27.6" x14ac:dyDescent="0.3">
      <c r="B58" s="72" t="s">
        <v>177</v>
      </c>
      <c r="C58" s="11" t="s">
        <v>2775</v>
      </c>
      <c r="D58" s="11" t="s">
        <v>2776</v>
      </c>
      <c r="E58" s="11" t="s">
        <v>2777</v>
      </c>
      <c r="F58" s="11" t="s">
        <v>2324</v>
      </c>
      <c r="G58" s="11" t="s">
        <v>2778</v>
      </c>
      <c r="H58" s="11" t="s">
        <v>2779</v>
      </c>
      <c r="I58" s="11" t="s">
        <v>2780</v>
      </c>
      <c r="J58" s="11" t="s">
        <v>1794</v>
      </c>
      <c r="K58" s="11" t="s">
        <v>279</v>
      </c>
      <c r="L58" s="11" t="s">
        <v>279</v>
      </c>
    </row>
    <row r="59" spans="2:12" x14ac:dyDescent="0.3">
      <c r="B59" s="72" t="s">
        <v>179</v>
      </c>
      <c r="C59" s="11" t="s">
        <v>2781</v>
      </c>
      <c r="D59" s="11" t="s">
        <v>236</v>
      </c>
      <c r="E59" s="11" t="s">
        <v>223</v>
      </c>
      <c r="F59" s="11" t="s">
        <v>228</v>
      </c>
      <c r="G59" s="11" t="s">
        <v>236</v>
      </c>
      <c r="H59" s="11" t="s">
        <v>228</v>
      </c>
      <c r="I59" s="11" t="s">
        <v>2782</v>
      </c>
      <c r="J59" s="11" t="s">
        <v>225</v>
      </c>
      <c r="K59" s="11" t="s">
        <v>225</v>
      </c>
      <c r="L59" s="11" t="s">
        <v>225</v>
      </c>
    </row>
    <row r="60" spans="2:12" ht="27.6" x14ac:dyDescent="0.3">
      <c r="B60" s="72" t="s">
        <v>238</v>
      </c>
      <c r="C60" s="11" t="s">
        <v>2783</v>
      </c>
      <c r="D60" s="11" t="s">
        <v>2784</v>
      </c>
      <c r="E60" s="11" t="s">
        <v>2785</v>
      </c>
      <c r="F60" s="11" t="s">
        <v>2786</v>
      </c>
      <c r="G60" s="11" t="s">
        <v>239</v>
      </c>
      <c r="H60" s="11" t="s">
        <v>2787</v>
      </c>
      <c r="I60" s="11" t="s">
        <v>965</v>
      </c>
      <c r="J60" s="11" t="s">
        <v>239</v>
      </c>
      <c r="K60" s="11" t="s">
        <v>239</v>
      </c>
      <c r="L60" s="11" t="s">
        <v>239</v>
      </c>
    </row>
    <row r="61" spans="2:12" x14ac:dyDescent="0.3">
      <c r="B61" s="72" t="s">
        <v>181</v>
      </c>
      <c r="C61" s="11" t="s">
        <v>232</v>
      </c>
      <c r="D61" s="11" t="s">
        <v>1762</v>
      </c>
      <c r="E61" s="11" t="s">
        <v>1762</v>
      </c>
      <c r="F61" s="11" t="s">
        <v>232</v>
      </c>
      <c r="G61" s="11" t="s">
        <v>232</v>
      </c>
      <c r="H61" s="11" t="s">
        <v>232</v>
      </c>
      <c r="I61" s="11" t="s">
        <v>232</v>
      </c>
      <c r="J61" s="11" t="s">
        <v>232</v>
      </c>
      <c r="K61" s="11" t="s">
        <v>232</v>
      </c>
      <c r="L61" s="11" t="s">
        <v>232</v>
      </c>
    </row>
    <row r="62" spans="2:12" x14ac:dyDescent="0.3">
      <c r="B62" s="72" t="s">
        <v>183</v>
      </c>
      <c r="C62" s="11" t="s">
        <v>228</v>
      </c>
      <c r="D62" s="11" t="s">
        <v>228</v>
      </c>
      <c r="E62" s="11" t="s">
        <v>228</v>
      </c>
      <c r="F62" s="11" t="s">
        <v>232</v>
      </c>
      <c r="G62" s="11" t="s">
        <v>232</v>
      </c>
      <c r="H62" s="11" t="s">
        <v>232</v>
      </c>
      <c r="I62" s="11" t="s">
        <v>228</v>
      </c>
      <c r="J62" s="11" t="s">
        <v>232</v>
      </c>
      <c r="K62" s="11" t="s">
        <v>232</v>
      </c>
      <c r="L62" s="11" t="s">
        <v>232</v>
      </c>
    </row>
    <row r="63" spans="2:12" ht="138" x14ac:dyDescent="0.3">
      <c r="B63" s="72" t="s">
        <v>243</v>
      </c>
      <c r="C63" s="11" t="s">
        <v>2788</v>
      </c>
      <c r="D63" s="11" t="s">
        <v>2789</v>
      </c>
      <c r="E63" s="11" t="s">
        <v>2790</v>
      </c>
      <c r="F63" s="11" t="s">
        <v>2791</v>
      </c>
      <c r="G63" s="11" t="s">
        <v>2792</v>
      </c>
      <c r="H63" s="11" t="s">
        <v>2793</v>
      </c>
      <c r="I63" s="11" t="s">
        <v>2794</v>
      </c>
      <c r="J63" s="11" t="s">
        <v>2795</v>
      </c>
      <c r="K63" s="11" t="s">
        <v>2796</v>
      </c>
      <c r="L63" s="11" t="s">
        <v>2797</v>
      </c>
    </row>
    <row r="65" spans="2:10" ht="27.6" customHeight="1" x14ac:dyDescent="0.3">
      <c r="B65" s="76" t="s">
        <v>254</v>
      </c>
      <c r="C65" s="76"/>
      <c r="D65" s="76"/>
      <c r="E65" s="76"/>
      <c r="F65" s="76"/>
      <c r="G65" s="76"/>
      <c r="H65" s="76"/>
      <c r="I65" s="76"/>
      <c r="J65" s="76"/>
    </row>
    <row r="66" spans="2:10" x14ac:dyDescent="0.3">
      <c r="B66" s="72" t="s">
        <v>255</v>
      </c>
      <c r="C66" s="72" t="s">
        <v>167</v>
      </c>
      <c r="D66" s="72" t="s">
        <v>169</v>
      </c>
      <c r="E66" s="72" t="s">
        <v>171</v>
      </c>
      <c r="F66" s="72" t="s">
        <v>177</v>
      </c>
      <c r="G66" s="72" t="s">
        <v>179</v>
      </c>
      <c r="H66" s="72" t="s">
        <v>175</v>
      </c>
      <c r="I66" s="72" t="s">
        <v>181</v>
      </c>
      <c r="J66" s="72" t="s">
        <v>183</v>
      </c>
    </row>
    <row r="67" spans="2:10" x14ac:dyDescent="0.3">
      <c r="B67" s="11" t="s">
        <v>1692</v>
      </c>
      <c r="C67" s="11" t="s">
        <v>221</v>
      </c>
      <c r="D67" s="11" t="s">
        <v>2798</v>
      </c>
      <c r="E67" s="11" t="s">
        <v>219</v>
      </c>
      <c r="F67" s="11" t="s">
        <v>224</v>
      </c>
      <c r="G67" s="11" t="s">
        <v>2799</v>
      </c>
      <c r="H67" s="11" t="s">
        <v>240</v>
      </c>
      <c r="I67" s="11" t="s">
        <v>232</v>
      </c>
      <c r="J67" s="11" t="s">
        <v>228</v>
      </c>
    </row>
    <row r="68" spans="2:10" x14ac:dyDescent="0.3">
      <c r="B68" s="11" t="s">
        <v>1695</v>
      </c>
      <c r="C68" s="11" t="s">
        <v>2800</v>
      </c>
      <c r="D68" s="11" t="s">
        <v>2801</v>
      </c>
      <c r="E68" s="11" t="s">
        <v>2802</v>
      </c>
      <c r="F68" s="11" t="s">
        <v>233</v>
      </c>
      <c r="G68" s="11" t="s">
        <v>236</v>
      </c>
      <c r="H68" s="11" t="s">
        <v>219</v>
      </c>
      <c r="I68" s="11" t="s">
        <v>1762</v>
      </c>
      <c r="J68" s="11" t="s">
        <v>228</v>
      </c>
    </row>
    <row r="69" spans="2:10" x14ac:dyDescent="0.3">
      <c r="B69" s="11" t="s">
        <v>1698</v>
      </c>
      <c r="C69" s="11" t="s">
        <v>2493</v>
      </c>
      <c r="D69" s="11" t="s">
        <v>2803</v>
      </c>
      <c r="E69" s="11" t="s">
        <v>2459</v>
      </c>
      <c r="F69" s="11" t="s">
        <v>2804</v>
      </c>
      <c r="G69" s="11" t="s">
        <v>223</v>
      </c>
      <c r="H69" s="11" t="s">
        <v>2785</v>
      </c>
      <c r="I69" s="11" t="s">
        <v>1762</v>
      </c>
      <c r="J69" s="11" t="s">
        <v>228</v>
      </c>
    </row>
    <row r="70" spans="2:10" x14ac:dyDescent="0.3">
      <c r="B70" s="11" t="s">
        <v>1701</v>
      </c>
      <c r="C70" s="11" t="s">
        <v>2759</v>
      </c>
      <c r="D70" s="11" t="s">
        <v>1471</v>
      </c>
      <c r="E70" s="11" t="s">
        <v>232</v>
      </c>
      <c r="F70" s="11" t="s">
        <v>2324</v>
      </c>
      <c r="G70" s="11" t="s">
        <v>228</v>
      </c>
      <c r="H70" s="11" t="s">
        <v>2786</v>
      </c>
      <c r="I70" s="11" t="s">
        <v>232</v>
      </c>
      <c r="J70" s="11" t="s">
        <v>232</v>
      </c>
    </row>
    <row r="71" spans="2:10" x14ac:dyDescent="0.3">
      <c r="B71" s="11" t="s">
        <v>1704</v>
      </c>
      <c r="C71" s="11" t="s">
        <v>2805</v>
      </c>
      <c r="D71" s="11" t="s">
        <v>2768</v>
      </c>
      <c r="E71" s="11" t="s">
        <v>2806</v>
      </c>
      <c r="F71" s="11" t="s">
        <v>2778</v>
      </c>
      <c r="G71" s="11" t="s">
        <v>236</v>
      </c>
      <c r="H71" s="11" t="s">
        <v>239</v>
      </c>
      <c r="I71" s="11" t="s">
        <v>232</v>
      </c>
      <c r="J71" s="11" t="s">
        <v>232</v>
      </c>
    </row>
    <row r="72" spans="2:10" x14ac:dyDescent="0.3">
      <c r="B72" s="11" t="s">
        <v>1707</v>
      </c>
      <c r="C72" s="11" t="s">
        <v>219</v>
      </c>
      <c r="D72" s="11" t="s">
        <v>1471</v>
      </c>
      <c r="E72" s="11" t="s">
        <v>232</v>
      </c>
      <c r="F72" s="11" t="s">
        <v>2779</v>
      </c>
      <c r="G72" s="11" t="s">
        <v>228</v>
      </c>
      <c r="H72" s="11" t="s">
        <v>219</v>
      </c>
      <c r="I72" s="11" t="s">
        <v>232</v>
      </c>
      <c r="J72" s="11" t="s">
        <v>232</v>
      </c>
    </row>
    <row r="73" spans="2:10" x14ac:dyDescent="0.3">
      <c r="B73" s="11" t="s">
        <v>1727</v>
      </c>
      <c r="C73" s="11" t="s">
        <v>224</v>
      </c>
      <c r="D73" s="11" t="s">
        <v>2769</v>
      </c>
      <c r="E73" s="11" t="s">
        <v>221</v>
      </c>
      <c r="F73" s="11" t="s">
        <v>2807</v>
      </c>
      <c r="G73" s="11" t="s">
        <v>2808</v>
      </c>
      <c r="H73" s="11" t="s">
        <v>965</v>
      </c>
      <c r="I73" s="11" t="s">
        <v>232</v>
      </c>
      <c r="J73" s="11" t="s">
        <v>228</v>
      </c>
    </row>
    <row r="74" spans="2:10" x14ac:dyDescent="0.3">
      <c r="B74" s="11" t="s">
        <v>1728</v>
      </c>
      <c r="C74" s="11" t="s">
        <v>224</v>
      </c>
      <c r="D74" s="11" t="s">
        <v>1752</v>
      </c>
      <c r="E74" s="11" t="s">
        <v>2323</v>
      </c>
      <c r="F74" s="11" t="s">
        <v>1772</v>
      </c>
      <c r="G74" s="11" t="s">
        <v>225</v>
      </c>
      <c r="H74" s="11" t="s">
        <v>239</v>
      </c>
      <c r="I74" s="11" t="s">
        <v>232</v>
      </c>
      <c r="J74" s="11" t="s">
        <v>232</v>
      </c>
    </row>
    <row r="75" spans="2:10" x14ac:dyDescent="0.3">
      <c r="B75" s="11" t="s">
        <v>1773</v>
      </c>
      <c r="C75" s="11" t="s">
        <v>219</v>
      </c>
      <c r="D75" s="11" t="s">
        <v>221</v>
      </c>
      <c r="E75" s="11" t="s">
        <v>232</v>
      </c>
      <c r="F75" s="11" t="s">
        <v>583</v>
      </c>
      <c r="G75" s="11" t="s">
        <v>225</v>
      </c>
      <c r="H75" s="11" t="s">
        <v>239</v>
      </c>
      <c r="I75" s="11" t="s">
        <v>232</v>
      </c>
      <c r="J75" s="11" t="s">
        <v>232</v>
      </c>
    </row>
    <row r="76" spans="2:10" x14ac:dyDescent="0.3">
      <c r="B76" s="11" t="s">
        <v>1774</v>
      </c>
      <c r="C76" s="11" t="s">
        <v>221</v>
      </c>
      <c r="D76" s="11" t="s">
        <v>221</v>
      </c>
      <c r="E76" s="11" t="s">
        <v>232</v>
      </c>
      <c r="F76" s="11" t="s">
        <v>583</v>
      </c>
      <c r="G76" s="11" t="s">
        <v>225</v>
      </c>
      <c r="H76" s="11" t="s">
        <v>239</v>
      </c>
      <c r="I76" s="11" t="s">
        <v>232</v>
      </c>
      <c r="J76" s="11" t="s">
        <v>232</v>
      </c>
    </row>
    <row r="78" spans="2:10" x14ac:dyDescent="0.3">
      <c r="B78" s="58" t="s">
        <v>264</v>
      </c>
    </row>
    <row r="79" spans="2:10" x14ac:dyDescent="0.3">
      <c r="B79" s="77" t="s">
        <v>196</v>
      </c>
      <c r="C79" s="77" t="s">
        <v>1775</v>
      </c>
      <c r="D79" s="77" t="s">
        <v>1776</v>
      </c>
      <c r="E79" s="77" t="s">
        <v>1777</v>
      </c>
      <c r="F79" s="77" t="s">
        <v>1778</v>
      </c>
      <c r="G79" s="77" t="s">
        <v>2809</v>
      </c>
      <c r="H79" s="77" t="s">
        <v>2810</v>
      </c>
      <c r="I79" s="77" t="s">
        <v>2811</v>
      </c>
    </row>
    <row r="80" spans="2:10" ht="55.2" x14ac:dyDescent="0.3">
      <c r="B80" s="77" t="s">
        <v>130</v>
      </c>
      <c r="C80" s="78" t="s">
        <v>2812</v>
      </c>
      <c r="D80" s="78" t="s">
        <v>2813</v>
      </c>
      <c r="E80" s="78" t="s">
        <v>2814</v>
      </c>
      <c r="F80" s="78" t="s">
        <v>2815</v>
      </c>
      <c r="G80" s="78" t="s">
        <v>2816</v>
      </c>
      <c r="H80" s="78" t="s">
        <v>2817</v>
      </c>
      <c r="I80" s="78" t="s">
        <v>2818</v>
      </c>
    </row>
    <row r="81" spans="2:10" ht="179.4" x14ac:dyDescent="0.3">
      <c r="B81" s="72" t="s">
        <v>208</v>
      </c>
      <c r="C81" s="11" t="s">
        <v>2819</v>
      </c>
      <c r="D81" s="11" t="s">
        <v>2820</v>
      </c>
      <c r="E81" s="11" t="s">
        <v>2821</v>
      </c>
      <c r="F81" s="11" t="s">
        <v>2822</v>
      </c>
      <c r="G81" s="11" t="s">
        <v>2823</v>
      </c>
      <c r="H81" s="11" t="s">
        <v>2824</v>
      </c>
      <c r="I81" s="11" t="s">
        <v>2825</v>
      </c>
    </row>
    <row r="82" spans="2:10" ht="27.6" x14ac:dyDescent="0.3">
      <c r="B82" s="72" t="s">
        <v>167</v>
      </c>
      <c r="C82" s="11" t="s">
        <v>277</v>
      </c>
      <c r="D82" s="11" t="s">
        <v>2826</v>
      </c>
      <c r="E82" s="11" t="s">
        <v>2827</v>
      </c>
      <c r="F82" s="11" t="s">
        <v>2828</v>
      </c>
      <c r="G82" s="11" t="s">
        <v>2829</v>
      </c>
      <c r="H82" s="11" t="s">
        <v>2830</v>
      </c>
      <c r="I82" s="11" t="s">
        <v>2831</v>
      </c>
    </row>
    <row r="83" spans="2:10" ht="27.6" x14ac:dyDescent="0.3">
      <c r="B83" s="72" t="s">
        <v>169</v>
      </c>
      <c r="C83" s="11" t="s">
        <v>2832</v>
      </c>
      <c r="D83" s="11" t="s">
        <v>2833</v>
      </c>
      <c r="E83" s="11" t="s">
        <v>2834</v>
      </c>
      <c r="F83" s="11" t="s">
        <v>2835</v>
      </c>
      <c r="G83" s="11" t="s">
        <v>2836</v>
      </c>
      <c r="H83" s="11" t="s">
        <v>2837</v>
      </c>
      <c r="I83" s="11" t="s">
        <v>221</v>
      </c>
    </row>
    <row r="84" spans="2:10" x14ac:dyDescent="0.3">
      <c r="B84" s="72" t="s">
        <v>231</v>
      </c>
      <c r="C84" s="11" t="s">
        <v>232</v>
      </c>
      <c r="D84" s="11" t="s">
        <v>232</v>
      </c>
      <c r="E84" s="11" t="s">
        <v>232</v>
      </c>
      <c r="F84" s="11" t="s">
        <v>2838</v>
      </c>
      <c r="G84" s="11" t="s">
        <v>232</v>
      </c>
      <c r="H84" s="11" t="s">
        <v>232</v>
      </c>
      <c r="I84" s="11" t="s">
        <v>232</v>
      </c>
    </row>
    <row r="85" spans="2:10" x14ac:dyDescent="0.3">
      <c r="B85" s="72" t="s">
        <v>177</v>
      </c>
      <c r="C85" s="11" t="s">
        <v>279</v>
      </c>
      <c r="D85" s="11" t="s">
        <v>279</v>
      </c>
      <c r="E85" s="11" t="s">
        <v>233</v>
      </c>
      <c r="F85" s="11" t="s">
        <v>233</v>
      </c>
      <c r="G85" s="11" t="s">
        <v>280</v>
      </c>
      <c r="H85" s="11" t="s">
        <v>2839</v>
      </c>
      <c r="I85" s="11" t="s">
        <v>2840</v>
      </c>
    </row>
    <row r="86" spans="2:10" x14ac:dyDescent="0.3">
      <c r="B86" s="72" t="s">
        <v>179</v>
      </c>
      <c r="C86" s="11" t="s">
        <v>223</v>
      </c>
      <c r="D86" s="11" t="s">
        <v>236</v>
      </c>
      <c r="E86" s="11" t="s">
        <v>236</v>
      </c>
      <c r="F86" s="11" t="s">
        <v>236</v>
      </c>
      <c r="G86" s="11" t="s">
        <v>223</v>
      </c>
      <c r="H86" s="11" t="s">
        <v>225</v>
      </c>
      <c r="I86" s="11" t="s">
        <v>236</v>
      </c>
    </row>
    <row r="87" spans="2:10" x14ac:dyDescent="0.3">
      <c r="B87" s="72" t="s">
        <v>238</v>
      </c>
      <c r="C87" s="11" t="s">
        <v>239</v>
      </c>
      <c r="D87" s="11" t="s">
        <v>239</v>
      </c>
      <c r="E87" s="11" t="s">
        <v>239</v>
      </c>
      <c r="F87" s="11" t="s">
        <v>1181</v>
      </c>
      <c r="G87" s="11" t="s">
        <v>2841</v>
      </c>
      <c r="H87" s="11" t="s">
        <v>239</v>
      </c>
      <c r="I87" s="11" t="s">
        <v>225</v>
      </c>
    </row>
    <row r="88" spans="2:10" x14ac:dyDescent="0.3">
      <c r="B88" s="72" t="s">
        <v>181</v>
      </c>
      <c r="C88" s="11" t="s">
        <v>232</v>
      </c>
      <c r="D88" s="11" t="s">
        <v>232</v>
      </c>
      <c r="E88" s="11" t="s">
        <v>232</v>
      </c>
      <c r="F88" s="11" t="s">
        <v>2842</v>
      </c>
      <c r="G88" s="11" t="s">
        <v>232</v>
      </c>
      <c r="H88" s="11" t="s">
        <v>450</v>
      </c>
      <c r="I88" s="11" t="s">
        <v>450</v>
      </c>
    </row>
    <row r="89" spans="2:10" x14ac:dyDescent="0.3">
      <c r="B89" s="72" t="s">
        <v>183</v>
      </c>
      <c r="C89" s="11" t="s">
        <v>232</v>
      </c>
      <c r="D89" s="11" t="s">
        <v>232</v>
      </c>
      <c r="E89" s="11" t="s">
        <v>232</v>
      </c>
      <c r="F89" s="11" t="s">
        <v>228</v>
      </c>
      <c r="G89" s="11" t="s">
        <v>232</v>
      </c>
      <c r="H89" s="11" t="s">
        <v>232</v>
      </c>
      <c r="I89" s="11" t="s">
        <v>232</v>
      </c>
    </row>
    <row r="90" spans="2:10" ht="151.80000000000001" x14ac:dyDescent="0.3">
      <c r="B90" s="72" t="s">
        <v>243</v>
      </c>
      <c r="C90" s="11" t="s">
        <v>2843</v>
      </c>
      <c r="D90" s="11" t="s">
        <v>2844</v>
      </c>
      <c r="E90" s="11" t="s">
        <v>2845</v>
      </c>
      <c r="F90" s="11" t="s">
        <v>2846</v>
      </c>
      <c r="G90" s="11" t="s">
        <v>2847</v>
      </c>
      <c r="H90" s="11" t="s">
        <v>2848</v>
      </c>
      <c r="I90" s="11" t="s">
        <v>2849</v>
      </c>
    </row>
    <row r="92" spans="2:10" x14ac:dyDescent="0.3">
      <c r="B92" s="76" t="s">
        <v>287</v>
      </c>
      <c r="C92" s="76"/>
      <c r="D92" s="76"/>
      <c r="E92" s="76"/>
      <c r="F92" s="76"/>
      <c r="G92" s="76"/>
      <c r="H92" s="76"/>
      <c r="I92" s="76"/>
      <c r="J92" s="76"/>
    </row>
    <row r="93" spans="2:10" x14ac:dyDescent="0.3">
      <c r="B93" s="72" t="s">
        <v>255</v>
      </c>
      <c r="C93" s="72" t="s">
        <v>167</v>
      </c>
      <c r="D93" s="72" t="s">
        <v>169</v>
      </c>
      <c r="E93" s="72" t="s">
        <v>171</v>
      </c>
      <c r="F93" s="72" t="s">
        <v>177</v>
      </c>
      <c r="G93" s="72" t="s">
        <v>179</v>
      </c>
      <c r="H93" s="72" t="s">
        <v>175</v>
      </c>
      <c r="I93" s="72" t="s">
        <v>181</v>
      </c>
      <c r="J93" s="72" t="s">
        <v>183</v>
      </c>
    </row>
    <row r="94" spans="2:10" x14ac:dyDescent="0.3">
      <c r="B94" s="11" t="s">
        <v>1775</v>
      </c>
      <c r="C94" s="11" t="s">
        <v>277</v>
      </c>
      <c r="D94" s="11" t="s">
        <v>278</v>
      </c>
      <c r="E94" s="11" t="s">
        <v>232</v>
      </c>
      <c r="F94" s="11" t="s">
        <v>583</v>
      </c>
      <c r="G94" s="11" t="s">
        <v>223</v>
      </c>
      <c r="H94" s="11" t="s">
        <v>239</v>
      </c>
      <c r="I94" s="11" t="s">
        <v>232</v>
      </c>
      <c r="J94" s="11" t="s">
        <v>232</v>
      </c>
    </row>
    <row r="95" spans="2:10" x14ac:dyDescent="0.3">
      <c r="B95" s="11" t="s">
        <v>1776</v>
      </c>
      <c r="C95" s="11" t="s">
        <v>2850</v>
      </c>
      <c r="D95" s="11" t="s">
        <v>229</v>
      </c>
      <c r="E95" s="11" t="s">
        <v>232</v>
      </c>
      <c r="F95" s="11" t="s">
        <v>583</v>
      </c>
      <c r="G95" s="11" t="s">
        <v>236</v>
      </c>
      <c r="H95" s="11" t="s">
        <v>239</v>
      </c>
      <c r="I95" s="11" t="s">
        <v>232</v>
      </c>
      <c r="J95" s="11" t="s">
        <v>232</v>
      </c>
    </row>
    <row r="96" spans="2:10" x14ac:dyDescent="0.3">
      <c r="B96" s="11" t="s">
        <v>1777</v>
      </c>
      <c r="C96" s="11" t="s">
        <v>221</v>
      </c>
      <c r="D96" s="11" t="s">
        <v>221</v>
      </c>
      <c r="E96" s="11" t="s">
        <v>232</v>
      </c>
      <c r="F96" s="11" t="s">
        <v>233</v>
      </c>
      <c r="G96" s="11" t="s">
        <v>236</v>
      </c>
      <c r="H96" s="11" t="s">
        <v>239</v>
      </c>
      <c r="I96" s="11" t="s">
        <v>232</v>
      </c>
      <c r="J96" s="11" t="s">
        <v>232</v>
      </c>
    </row>
    <row r="97" spans="2:11" x14ac:dyDescent="0.3">
      <c r="B97" s="11" t="s">
        <v>1778</v>
      </c>
      <c r="C97" s="11" t="s">
        <v>277</v>
      </c>
      <c r="D97" s="11" t="s">
        <v>2851</v>
      </c>
      <c r="E97" s="11" t="s">
        <v>2838</v>
      </c>
      <c r="F97" s="11" t="s">
        <v>233</v>
      </c>
      <c r="G97" s="11" t="s">
        <v>236</v>
      </c>
      <c r="H97" s="11" t="s">
        <v>1181</v>
      </c>
      <c r="I97" s="11" t="s">
        <v>2852</v>
      </c>
      <c r="J97" s="11" t="s">
        <v>228</v>
      </c>
    </row>
    <row r="98" spans="2:11" x14ac:dyDescent="0.3">
      <c r="B98" s="11" t="s">
        <v>2809</v>
      </c>
      <c r="C98" s="11" t="s">
        <v>277</v>
      </c>
      <c r="D98" s="11" t="s">
        <v>278</v>
      </c>
      <c r="E98" s="11" t="s">
        <v>232</v>
      </c>
      <c r="F98" s="11" t="s">
        <v>280</v>
      </c>
      <c r="G98" s="11" t="s">
        <v>223</v>
      </c>
      <c r="H98" s="11" t="s">
        <v>239</v>
      </c>
      <c r="I98" s="11" t="s">
        <v>232</v>
      </c>
      <c r="J98" s="11" t="s">
        <v>232</v>
      </c>
    </row>
    <row r="99" spans="2:11" x14ac:dyDescent="0.3">
      <c r="B99" s="11" t="s">
        <v>2810</v>
      </c>
      <c r="C99" s="11" t="s">
        <v>219</v>
      </c>
      <c r="D99" s="11" t="s">
        <v>229</v>
      </c>
      <c r="E99" s="11" t="s">
        <v>232</v>
      </c>
      <c r="F99" s="11" t="s">
        <v>2839</v>
      </c>
      <c r="G99" s="11" t="s">
        <v>225</v>
      </c>
      <c r="H99" s="11" t="s">
        <v>239</v>
      </c>
      <c r="I99" s="11" t="s">
        <v>450</v>
      </c>
      <c r="J99" s="11" t="s">
        <v>232</v>
      </c>
    </row>
    <row r="100" spans="2:11" x14ac:dyDescent="0.3">
      <c r="B100" s="11" t="s">
        <v>2811</v>
      </c>
      <c r="C100" s="11" t="s">
        <v>277</v>
      </c>
      <c r="D100" s="11" t="s">
        <v>221</v>
      </c>
      <c r="E100" s="11" t="s">
        <v>232</v>
      </c>
      <c r="F100" s="11" t="s">
        <v>2840</v>
      </c>
      <c r="G100" s="11" t="s">
        <v>236</v>
      </c>
      <c r="H100" s="11" t="s">
        <v>225</v>
      </c>
      <c r="I100" s="11" t="s">
        <v>450</v>
      </c>
      <c r="J100" s="11" t="s">
        <v>232</v>
      </c>
    </row>
    <row r="102" spans="2:11" x14ac:dyDescent="0.3">
      <c r="B102" s="76" t="s">
        <v>288</v>
      </c>
      <c r="C102" s="76"/>
      <c r="D102" s="76"/>
      <c r="E102" s="76"/>
      <c r="F102" s="76"/>
      <c r="G102" s="76"/>
      <c r="H102" s="76"/>
      <c r="I102" s="76"/>
      <c r="J102" s="76"/>
    </row>
    <row r="103" spans="2:11" x14ac:dyDescent="0.3">
      <c r="B103" s="72" t="s">
        <v>289</v>
      </c>
      <c r="C103" s="72" t="s">
        <v>167</v>
      </c>
      <c r="D103" s="72" t="s">
        <v>169</v>
      </c>
      <c r="E103" s="72" t="s">
        <v>171</v>
      </c>
      <c r="F103" s="72" t="s">
        <v>177</v>
      </c>
      <c r="G103" s="72" t="s">
        <v>179</v>
      </c>
      <c r="H103" s="72" t="s">
        <v>175</v>
      </c>
      <c r="I103" s="72" t="s">
        <v>181</v>
      </c>
      <c r="J103" s="72" t="s">
        <v>183</v>
      </c>
    </row>
    <row r="104" spans="2:11" x14ac:dyDescent="0.3">
      <c r="B104" s="11" t="s">
        <v>1692</v>
      </c>
      <c r="C104" s="11" t="s">
        <v>2853</v>
      </c>
      <c r="D104" s="11" t="s">
        <v>2854</v>
      </c>
      <c r="E104" s="11" t="s">
        <v>2855</v>
      </c>
      <c r="F104" s="11" t="s">
        <v>2856</v>
      </c>
      <c r="G104" s="11" t="s">
        <v>2857</v>
      </c>
      <c r="H104" s="11" t="s">
        <v>223</v>
      </c>
      <c r="I104" s="11" t="s">
        <v>2858</v>
      </c>
      <c r="J104" s="11" t="s">
        <v>2859</v>
      </c>
      <c r="K104" s="12"/>
    </row>
    <row r="105" spans="2:11" ht="27.6" x14ac:dyDescent="0.3">
      <c r="B105" s="11" t="s">
        <v>1695</v>
      </c>
      <c r="C105" s="11" t="s">
        <v>2860</v>
      </c>
      <c r="D105" s="11" t="s">
        <v>2861</v>
      </c>
      <c r="E105" s="11" t="s">
        <v>2862</v>
      </c>
      <c r="F105" s="11" t="s">
        <v>2863</v>
      </c>
      <c r="G105" s="11" t="s">
        <v>2864</v>
      </c>
      <c r="H105" s="11" t="s">
        <v>2781</v>
      </c>
      <c r="I105" s="11" t="s">
        <v>2865</v>
      </c>
      <c r="J105" s="11" t="s">
        <v>2866</v>
      </c>
      <c r="K105" s="12"/>
    </row>
    <row r="106" spans="2:11" ht="27.6" x14ac:dyDescent="0.3">
      <c r="B106" s="11" t="s">
        <v>1698</v>
      </c>
      <c r="C106" s="11" t="s">
        <v>2867</v>
      </c>
      <c r="D106" s="11" t="s">
        <v>2868</v>
      </c>
      <c r="E106" s="11" t="s">
        <v>2869</v>
      </c>
      <c r="F106" s="11" t="s">
        <v>2870</v>
      </c>
      <c r="G106" s="11" t="s">
        <v>2871</v>
      </c>
      <c r="H106" s="11" t="s">
        <v>236</v>
      </c>
      <c r="I106" s="11" t="s">
        <v>2872</v>
      </c>
      <c r="J106" s="11" t="s">
        <v>2873</v>
      </c>
      <c r="K106" s="12"/>
    </row>
    <row r="107" spans="2:11" ht="27.6" x14ac:dyDescent="0.3">
      <c r="B107" s="11" t="s">
        <v>1701</v>
      </c>
      <c r="C107" s="11" t="s">
        <v>2874</v>
      </c>
      <c r="D107" s="11" t="s">
        <v>2875</v>
      </c>
      <c r="E107" s="11" t="s">
        <v>2876</v>
      </c>
      <c r="F107" s="11" t="s">
        <v>2877</v>
      </c>
      <c r="G107" s="11" t="s">
        <v>583</v>
      </c>
      <c r="H107" s="11" t="s">
        <v>223</v>
      </c>
      <c r="I107" s="11" t="s">
        <v>2878</v>
      </c>
      <c r="J107" s="11" t="s">
        <v>2879</v>
      </c>
      <c r="K107" s="12"/>
    </row>
    <row r="109" spans="2:11" x14ac:dyDescent="0.3">
      <c r="B109" s="76" t="s">
        <v>306</v>
      </c>
      <c r="C109" s="76"/>
      <c r="D109" s="76"/>
      <c r="E109" s="76"/>
      <c r="F109" s="76"/>
      <c r="G109" s="76"/>
      <c r="H109" s="76"/>
    </row>
    <row r="110" spans="2:11" x14ac:dyDescent="0.3">
      <c r="B110" s="77" t="s">
        <v>255</v>
      </c>
      <c r="C110" s="77" t="s">
        <v>167</v>
      </c>
      <c r="D110" s="77" t="s">
        <v>307</v>
      </c>
      <c r="E110" s="77" t="s">
        <v>308</v>
      </c>
      <c r="F110" s="77" t="s">
        <v>309</v>
      </c>
      <c r="G110" s="77" t="s">
        <v>181</v>
      </c>
      <c r="H110" s="77" t="s">
        <v>310</v>
      </c>
    </row>
    <row r="111" spans="2:11" x14ac:dyDescent="0.3">
      <c r="B111" s="11">
        <v>1</v>
      </c>
      <c r="C111" s="11">
        <v>5</v>
      </c>
      <c r="D111" s="11">
        <v>4</v>
      </c>
      <c r="E111" s="11">
        <v>5</v>
      </c>
      <c r="F111" s="11">
        <v>5</v>
      </c>
      <c r="G111" s="11">
        <v>3</v>
      </c>
      <c r="H111" s="80">
        <f t="shared" ref="H111:H117" si="0">AVERAGE(C111:G111)</f>
        <v>4.4000000000000004</v>
      </c>
    </row>
    <row r="112" spans="2:11" x14ac:dyDescent="0.3">
      <c r="B112" s="11">
        <v>2</v>
      </c>
      <c r="C112" s="11">
        <v>5</v>
      </c>
      <c r="D112" s="11">
        <v>3</v>
      </c>
      <c r="E112" s="11">
        <v>5</v>
      </c>
      <c r="F112" s="11">
        <v>5</v>
      </c>
      <c r="G112" s="11">
        <v>3</v>
      </c>
      <c r="H112" s="80">
        <f t="shared" si="0"/>
        <v>4.2</v>
      </c>
    </row>
    <row r="113" spans="2:20" x14ac:dyDescent="0.3">
      <c r="B113" s="11">
        <v>3</v>
      </c>
      <c r="C113" s="11">
        <v>4</v>
      </c>
      <c r="D113" s="11">
        <v>5</v>
      </c>
      <c r="E113" s="11">
        <v>4</v>
      </c>
      <c r="F113" s="11">
        <v>4</v>
      </c>
      <c r="G113" s="11">
        <v>3</v>
      </c>
      <c r="H113" s="80">
        <f t="shared" si="0"/>
        <v>4</v>
      </c>
    </row>
    <row r="114" spans="2:20" x14ac:dyDescent="0.3">
      <c r="B114" s="11">
        <v>4</v>
      </c>
      <c r="C114" s="11">
        <v>4</v>
      </c>
      <c r="D114" s="11">
        <v>4</v>
      </c>
      <c r="E114" s="11">
        <v>4</v>
      </c>
      <c r="F114" s="11">
        <v>5</v>
      </c>
      <c r="G114" s="11">
        <v>2</v>
      </c>
      <c r="H114" s="80">
        <f t="shared" si="0"/>
        <v>3.8</v>
      </c>
    </row>
    <row r="115" spans="2:20" x14ac:dyDescent="0.3">
      <c r="B115" s="11">
        <v>5</v>
      </c>
      <c r="C115" s="11">
        <v>3</v>
      </c>
      <c r="D115" s="11">
        <v>5</v>
      </c>
      <c r="E115" s="11">
        <v>4</v>
      </c>
      <c r="F115" s="11">
        <v>3</v>
      </c>
      <c r="G115" s="11">
        <v>3</v>
      </c>
      <c r="H115" s="80">
        <f t="shared" si="0"/>
        <v>3.6</v>
      </c>
    </row>
    <row r="116" spans="2:20" x14ac:dyDescent="0.3">
      <c r="B116" s="11">
        <v>6</v>
      </c>
      <c r="C116" s="11">
        <v>4</v>
      </c>
      <c r="D116" s="11">
        <v>4</v>
      </c>
      <c r="E116" s="11">
        <v>4</v>
      </c>
      <c r="F116" s="11">
        <v>4</v>
      </c>
      <c r="G116" s="11">
        <v>4</v>
      </c>
      <c r="H116" s="80">
        <f t="shared" si="0"/>
        <v>4</v>
      </c>
    </row>
    <row r="117" spans="2:20" x14ac:dyDescent="0.3">
      <c r="B117" s="11">
        <v>7</v>
      </c>
      <c r="C117" s="11">
        <v>5</v>
      </c>
      <c r="D117" s="11">
        <v>4</v>
      </c>
      <c r="E117" s="11">
        <v>4</v>
      </c>
      <c r="F117" s="11">
        <v>2</v>
      </c>
      <c r="G117" s="11">
        <v>4</v>
      </c>
      <c r="H117" s="80">
        <f t="shared" si="0"/>
        <v>3.8</v>
      </c>
    </row>
    <row r="119" spans="2:20" ht="28.8" x14ac:dyDescent="0.3">
      <c r="B119" s="96" t="s">
        <v>3396</v>
      </c>
    </row>
    <row r="120" spans="2:20" ht="24" x14ac:dyDescent="0.3">
      <c r="B120" s="99" t="s">
        <v>3397</v>
      </c>
      <c r="C120" s="100" t="s">
        <v>3405</v>
      </c>
      <c r="D120" s="100" t="s">
        <v>3405</v>
      </c>
      <c r="E120" s="100" t="s">
        <v>3405</v>
      </c>
      <c r="F120" s="100" t="s">
        <v>3427</v>
      </c>
      <c r="G120" s="100" t="s">
        <v>3427</v>
      </c>
      <c r="H120" s="100" t="s">
        <v>3427</v>
      </c>
      <c r="I120" s="100" t="s">
        <v>3449</v>
      </c>
      <c r="J120" s="100" t="s">
        <v>3449</v>
      </c>
      <c r="K120" s="100" t="s">
        <v>3449</v>
      </c>
      <c r="L120" s="100" t="s">
        <v>3471</v>
      </c>
      <c r="M120" s="100" t="s">
        <v>3471</v>
      </c>
      <c r="N120" s="100" t="s">
        <v>3471</v>
      </c>
      <c r="O120" s="100" t="s">
        <v>3493</v>
      </c>
      <c r="P120" s="100" t="s">
        <v>3493</v>
      </c>
      <c r="Q120" s="100" t="s">
        <v>3493</v>
      </c>
      <c r="R120" s="100" t="s">
        <v>3515</v>
      </c>
      <c r="S120" s="100" t="s">
        <v>3515</v>
      </c>
      <c r="T120" s="100" t="s">
        <v>3515</v>
      </c>
    </row>
    <row r="121" spans="2:20" ht="24" x14ac:dyDescent="0.3">
      <c r="B121" s="99" t="s">
        <v>3398</v>
      </c>
      <c r="C121" s="100" t="s">
        <v>3406</v>
      </c>
      <c r="D121" s="100" t="s">
        <v>3407</v>
      </c>
      <c r="E121" s="100" t="s">
        <v>3408</v>
      </c>
      <c r="F121" s="100" t="s">
        <v>3428</v>
      </c>
      <c r="G121" s="100" t="s">
        <v>3429</v>
      </c>
      <c r="H121" s="100" t="s">
        <v>3430</v>
      </c>
      <c r="I121" s="100" t="s">
        <v>3450</v>
      </c>
      <c r="J121" s="100" t="s">
        <v>3451</v>
      </c>
      <c r="K121" s="100" t="s">
        <v>3452</v>
      </c>
      <c r="L121" s="100" t="s">
        <v>3472</v>
      </c>
      <c r="M121" s="100" t="s">
        <v>3479</v>
      </c>
      <c r="N121" s="100" t="s">
        <v>3486</v>
      </c>
      <c r="O121" s="100" t="s">
        <v>3494</v>
      </c>
      <c r="P121" s="100" t="s">
        <v>3495</v>
      </c>
      <c r="Q121" s="100" t="s">
        <v>3496</v>
      </c>
      <c r="R121" s="100" t="s">
        <v>3516</v>
      </c>
      <c r="S121" s="100" t="s">
        <v>3517</v>
      </c>
      <c r="T121" s="100" t="s">
        <v>3518</v>
      </c>
    </row>
    <row r="122" spans="2:20" ht="96" x14ac:dyDescent="0.3">
      <c r="B122" s="97" t="s">
        <v>3399</v>
      </c>
      <c r="C122" s="98" t="s">
        <v>3409</v>
      </c>
      <c r="D122" s="98" t="s">
        <v>3410</v>
      </c>
      <c r="E122" s="98" t="s">
        <v>3411</v>
      </c>
      <c r="F122" s="98" t="s">
        <v>3431</v>
      </c>
      <c r="G122" s="98" t="s">
        <v>3432</v>
      </c>
      <c r="H122" s="98" t="s">
        <v>3433</v>
      </c>
      <c r="I122" s="98" t="s">
        <v>3453</v>
      </c>
      <c r="J122" s="98" t="s">
        <v>3454</v>
      </c>
      <c r="K122" s="98" t="s">
        <v>3455</v>
      </c>
      <c r="L122" s="98" t="s">
        <v>3473</v>
      </c>
      <c r="M122" s="98" t="s">
        <v>3480</v>
      </c>
      <c r="N122" s="98" t="s">
        <v>3487</v>
      </c>
      <c r="O122" s="98" t="s">
        <v>3497</v>
      </c>
      <c r="P122" s="98" t="s">
        <v>3498</v>
      </c>
      <c r="Q122" s="98" t="s">
        <v>3499</v>
      </c>
      <c r="R122" s="98" t="s">
        <v>3519</v>
      </c>
      <c r="S122" s="98" t="s">
        <v>3520</v>
      </c>
      <c r="T122" s="98" t="s">
        <v>3521</v>
      </c>
    </row>
    <row r="123" spans="2:20" ht="132" x14ac:dyDescent="0.3">
      <c r="B123" s="97" t="s">
        <v>3400</v>
      </c>
      <c r="C123" s="98" t="s">
        <v>3412</v>
      </c>
      <c r="D123" s="98" t="s">
        <v>3413</v>
      </c>
      <c r="E123" s="98" t="s">
        <v>3414</v>
      </c>
      <c r="F123" s="98" t="s">
        <v>3434</v>
      </c>
      <c r="G123" s="98" t="s">
        <v>3435</v>
      </c>
      <c r="H123" s="98" t="s">
        <v>3436</v>
      </c>
      <c r="I123" s="98" t="s">
        <v>3456</v>
      </c>
      <c r="J123" s="98" t="s">
        <v>3457</v>
      </c>
      <c r="K123" s="98" t="s">
        <v>3458</v>
      </c>
      <c r="L123" s="98" t="s">
        <v>3474</v>
      </c>
      <c r="M123" s="98" t="s">
        <v>3481</v>
      </c>
      <c r="N123" s="98" t="s">
        <v>3488</v>
      </c>
      <c r="O123" s="98" t="s">
        <v>3500</v>
      </c>
      <c r="P123" s="98" t="s">
        <v>3501</v>
      </c>
      <c r="Q123" s="98" t="s">
        <v>3502</v>
      </c>
      <c r="R123" s="98" t="s">
        <v>3522</v>
      </c>
      <c r="S123" s="98" t="s">
        <v>3523</v>
      </c>
      <c r="T123" s="98" t="s">
        <v>3524</v>
      </c>
    </row>
    <row r="124" spans="2:20" ht="96" x14ac:dyDescent="0.3">
      <c r="B124" s="97" t="s">
        <v>3401</v>
      </c>
      <c r="C124" s="98" t="s">
        <v>3415</v>
      </c>
      <c r="D124" s="98" t="s">
        <v>3416</v>
      </c>
      <c r="E124" s="98" t="s">
        <v>3417</v>
      </c>
      <c r="F124" s="98" t="s">
        <v>3437</v>
      </c>
      <c r="G124" s="98" t="s">
        <v>3438</v>
      </c>
      <c r="H124" s="98" t="s">
        <v>3439</v>
      </c>
      <c r="I124" s="98" t="s">
        <v>3459</v>
      </c>
      <c r="J124" s="98" t="s">
        <v>3460</v>
      </c>
      <c r="K124" s="98" t="s">
        <v>3461</v>
      </c>
      <c r="L124" s="98" t="s">
        <v>3475</v>
      </c>
      <c r="M124" s="98" t="s">
        <v>3482</v>
      </c>
      <c r="N124" s="98" t="s">
        <v>3489</v>
      </c>
      <c r="O124" s="98" t="s">
        <v>3503</v>
      </c>
      <c r="P124" s="98" t="s">
        <v>3504</v>
      </c>
      <c r="Q124" s="98" t="s">
        <v>3505</v>
      </c>
      <c r="R124" s="98" t="s">
        <v>3525</v>
      </c>
      <c r="S124" s="98" t="s">
        <v>3526</v>
      </c>
      <c r="T124" s="98" t="s">
        <v>3527</v>
      </c>
    </row>
    <row r="125" spans="2:20" ht="84" x14ac:dyDescent="0.3">
      <c r="B125" s="97" t="s">
        <v>3402</v>
      </c>
      <c r="C125" s="98" t="s">
        <v>3418</v>
      </c>
      <c r="D125" s="98" t="s">
        <v>3419</v>
      </c>
      <c r="E125" s="98" t="s">
        <v>3420</v>
      </c>
      <c r="F125" s="98" t="s">
        <v>3440</v>
      </c>
      <c r="G125" s="98" t="s">
        <v>3441</v>
      </c>
      <c r="H125" s="98" t="s">
        <v>3442</v>
      </c>
      <c r="I125" s="98" t="s">
        <v>3462</v>
      </c>
      <c r="J125" s="98" t="s">
        <v>3463</v>
      </c>
      <c r="K125" s="98" t="s">
        <v>3464</v>
      </c>
      <c r="L125" s="98" t="s">
        <v>3476</v>
      </c>
      <c r="M125" s="98" t="s">
        <v>3483</v>
      </c>
      <c r="N125" s="98" t="s">
        <v>3490</v>
      </c>
      <c r="O125" s="98" t="s">
        <v>3506</v>
      </c>
      <c r="P125" s="98" t="s">
        <v>3507</v>
      </c>
      <c r="Q125" s="98" t="s">
        <v>3508</v>
      </c>
      <c r="R125" s="98" t="s">
        <v>3528</v>
      </c>
      <c r="S125" s="98" t="s">
        <v>3529</v>
      </c>
      <c r="T125" s="98" t="s">
        <v>3530</v>
      </c>
    </row>
    <row r="126" spans="2:20" ht="84" x14ac:dyDescent="0.3">
      <c r="B126" s="97" t="s">
        <v>3403</v>
      </c>
      <c r="C126" s="98" t="s">
        <v>3421</v>
      </c>
      <c r="D126" s="98" t="s">
        <v>3422</v>
      </c>
      <c r="E126" s="98" t="s">
        <v>3423</v>
      </c>
      <c r="F126" s="98" t="s">
        <v>3443</v>
      </c>
      <c r="G126" s="98" t="s">
        <v>3444</v>
      </c>
      <c r="H126" s="98" t="s">
        <v>3445</v>
      </c>
      <c r="I126" s="98" t="s">
        <v>3465</v>
      </c>
      <c r="J126" s="98" t="s">
        <v>3466</v>
      </c>
      <c r="K126" s="98" t="s">
        <v>3467</v>
      </c>
      <c r="L126" s="98" t="s">
        <v>3477</v>
      </c>
      <c r="M126" s="98" t="s">
        <v>3484</v>
      </c>
      <c r="N126" s="98" t="s">
        <v>3491</v>
      </c>
      <c r="O126" s="98" t="s">
        <v>3509</v>
      </c>
      <c r="P126" s="98" t="s">
        <v>3510</v>
      </c>
      <c r="Q126" s="98" t="s">
        <v>3511</v>
      </c>
      <c r="R126" s="98" t="s">
        <v>3531</v>
      </c>
      <c r="S126" s="98" t="s">
        <v>3532</v>
      </c>
      <c r="T126" s="98" t="s">
        <v>3533</v>
      </c>
    </row>
    <row r="127" spans="2:20" ht="96" x14ac:dyDescent="0.3">
      <c r="B127" s="97" t="s">
        <v>3404</v>
      </c>
      <c r="C127" s="98" t="s">
        <v>3424</v>
      </c>
      <c r="D127" s="98" t="s">
        <v>3425</v>
      </c>
      <c r="E127" s="98" t="s">
        <v>3426</v>
      </c>
      <c r="F127" s="98" t="s">
        <v>3446</v>
      </c>
      <c r="G127" s="98" t="s">
        <v>3447</v>
      </c>
      <c r="H127" s="98" t="s">
        <v>3448</v>
      </c>
      <c r="I127" s="98" t="s">
        <v>3468</v>
      </c>
      <c r="J127" s="98" t="s">
        <v>3469</v>
      </c>
      <c r="K127" s="98" t="s">
        <v>3470</v>
      </c>
      <c r="L127" s="98" t="s">
        <v>3478</v>
      </c>
      <c r="M127" s="98" t="s">
        <v>3485</v>
      </c>
      <c r="N127" s="98" t="s">
        <v>3492</v>
      </c>
      <c r="O127" s="98" t="s">
        <v>3512</v>
      </c>
      <c r="P127" s="98" t="s">
        <v>3513</v>
      </c>
      <c r="Q127" s="98" t="s">
        <v>3514</v>
      </c>
      <c r="R127" s="98" t="s">
        <v>3534</v>
      </c>
      <c r="S127" s="98" t="s">
        <v>3535</v>
      </c>
      <c r="T127" s="98" t="s">
        <v>3536</v>
      </c>
    </row>
  </sheetData>
  <mergeCells count="9">
    <mergeCell ref="B92:J92"/>
    <mergeCell ref="B102:J102"/>
    <mergeCell ref="B109:H109"/>
    <mergeCell ref="B1:C1"/>
    <mergeCell ref="B10:C10"/>
    <mergeCell ref="B18:D18"/>
    <mergeCell ref="B28:C28"/>
    <mergeCell ref="B41:C41"/>
    <mergeCell ref="B65:J6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DB32A-B9F8-4EDF-BEB7-27F2A5BEFF6D}">
  <dimension ref="B1:J111"/>
  <sheetViews>
    <sheetView topLeftCell="A93" zoomScale="86" workbookViewId="0">
      <selection activeCell="C116" sqref="C116"/>
    </sheetView>
  </sheetViews>
  <sheetFormatPr defaultColWidth="8.5546875" defaultRowHeight="14.4" x14ac:dyDescent="0.3"/>
  <cols>
    <col min="1" max="1" width="8.88671875" customWidth="1"/>
    <col min="2" max="2" width="32.109375" customWidth="1"/>
    <col min="3" max="3" width="77.88671875" customWidth="1"/>
    <col min="4" max="13" width="10" customWidth="1"/>
  </cols>
  <sheetData>
    <row r="1" spans="2:3" x14ac:dyDescent="0.3">
      <c r="B1" s="87" t="s">
        <v>130</v>
      </c>
      <c r="C1" s="87"/>
    </row>
    <row r="2" spans="2:3" x14ac:dyDescent="0.3">
      <c r="B2" s="72" t="s">
        <v>131</v>
      </c>
      <c r="C2" s="88" t="s">
        <v>3020</v>
      </c>
    </row>
    <row r="3" spans="2:3" ht="24" x14ac:dyDescent="0.3">
      <c r="B3" s="72" t="s">
        <v>132</v>
      </c>
      <c r="C3" s="88" t="s">
        <v>2880</v>
      </c>
    </row>
    <row r="4" spans="2:3" x14ac:dyDescent="0.3">
      <c r="B4" s="72" t="s">
        <v>134</v>
      </c>
      <c r="C4" s="88" t="s">
        <v>2881</v>
      </c>
    </row>
    <row r="5" spans="2:3" ht="36" x14ac:dyDescent="0.3">
      <c r="B5" s="72" t="s">
        <v>136</v>
      </c>
      <c r="C5" s="88" t="s">
        <v>2882</v>
      </c>
    </row>
    <row r="6" spans="2:3" x14ac:dyDescent="0.3">
      <c r="B6" s="72" t="s">
        <v>138</v>
      </c>
      <c r="C6" s="88" t="s">
        <v>139</v>
      </c>
    </row>
    <row r="7" spans="2:3" ht="36" x14ac:dyDescent="0.3">
      <c r="B7" s="72" t="s">
        <v>140</v>
      </c>
      <c r="C7" s="88" t="s">
        <v>2883</v>
      </c>
    </row>
    <row r="9" spans="2:3" ht="15.6" x14ac:dyDescent="0.3">
      <c r="B9" s="59" t="s">
        <v>142</v>
      </c>
    </row>
    <row r="10" spans="2:3" x14ac:dyDescent="0.3">
      <c r="B10" s="87" t="s">
        <v>143</v>
      </c>
      <c r="C10" s="87"/>
    </row>
    <row r="11" spans="2:3" ht="36" x14ac:dyDescent="0.3">
      <c r="B11" s="72" t="s">
        <v>2884</v>
      </c>
      <c r="C11" s="88" t="s">
        <v>2885</v>
      </c>
    </row>
    <row r="12" spans="2:3" ht="36" x14ac:dyDescent="0.3">
      <c r="B12" s="72" t="s">
        <v>2886</v>
      </c>
      <c r="C12" s="88" t="s">
        <v>2887</v>
      </c>
    </row>
    <row r="13" spans="2:3" ht="36" x14ac:dyDescent="0.3">
      <c r="B13" s="72" t="s">
        <v>2888</v>
      </c>
      <c r="C13" s="88" t="s">
        <v>2889</v>
      </c>
    </row>
    <row r="14" spans="2:3" ht="36" x14ac:dyDescent="0.3">
      <c r="B14" s="72" t="s">
        <v>2890</v>
      </c>
      <c r="C14" s="88" t="s">
        <v>2891</v>
      </c>
    </row>
    <row r="15" spans="2:3" ht="36" x14ac:dyDescent="0.3">
      <c r="B15" s="72" t="s">
        <v>2892</v>
      </c>
      <c r="C15" s="88" t="s">
        <v>2893</v>
      </c>
    </row>
    <row r="16" spans="2:3" ht="36" x14ac:dyDescent="0.3">
      <c r="B16" s="72" t="s">
        <v>2894</v>
      </c>
      <c r="C16" s="88" t="s">
        <v>2895</v>
      </c>
    </row>
    <row r="18" spans="2:4" ht="15.6" x14ac:dyDescent="0.3">
      <c r="B18" s="91" t="s">
        <v>152</v>
      </c>
      <c r="C18" s="91"/>
      <c r="D18" s="91"/>
    </row>
    <row r="19" spans="2:4" x14ac:dyDescent="0.3">
      <c r="B19" s="84" t="s">
        <v>153</v>
      </c>
      <c r="C19" s="84" t="s">
        <v>154</v>
      </c>
      <c r="D19" s="84" t="s">
        <v>155</v>
      </c>
    </row>
    <row r="20" spans="2:4" x14ac:dyDescent="0.3">
      <c r="B20" s="90" t="s">
        <v>1692</v>
      </c>
      <c r="C20" s="90" t="s">
        <v>2896</v>
      </c>
      <c r="D20" s="90" t="s">
        <v>2897</v>
      </c>
    </row>
    <row r="21" spans="2:4" ht="24" x14ac:dyDescent="0.3">
      <c r="B21" s="90" t="s">
        <v>1695</v>
      </c>
      <c r="C21" s="90" t="s">
        <v>2898</v>
      </c>
      <c r="D21" s="90" t="s">
        <v>2899</v>
      </c>
    </row>
    <row r="22" spans="2:4" x14ac:dyDescent="0.3">
      <c r="B22" s="90" t="s">
        <v>1698</v>
      </c>
      <c r="C22" s="90" t="s">
        <v>2900</v>
      </c>
      <c r="D22" s="90" t="s">
        <v>2901</v>
      </c>
    </row>
    <row r="23" spans="2:4" ht="24" x14ac:dyDescent="0.3">
      <c r="B23" s="90" t="s">
        <v>1701</v>
      </c>
      <c r="C23" s="90" t="s">
        <v>2902</v>
      </c>
      <c r="D23" s="90" t="s">
        <v>2903</v>
      </c>
    </row>
    <row r="24" spans="2:4" ht="24" x14ac:dyDescent="0.3">
      <c r="B24" s="90" t="s">
        <v>1704</v>
      </c>
      <c r="C24" s="90" t="s">
        <v>2904</v>
      </c>
      <c r="D24" s="90" t="s">
        <v>2905</v>
      </c>
    </row>
    <row r="25" spans="2:4" ht="36" x14ac:dyDescent="0.3">
      <c r="B25" s="90" t="s">
        <v>1707</v>
      </c>
      <c r="C25" s="90" t="s">
        <v>2906</v>
      </c>
      <c r="D25" s="90" t="s">
        <v>2907</v>
      </c>
    </row>
    <row r="26" spans="2:4" ht="24" x14ac:dyDescent="0.3">
      <c r="B26" s="90" t="s">
        <v>1727</v>
      </c>
      <c r="C26" s="90" t="s">
        <v>2908</v>
      </c>
      <c r="D26" s="90" t="s">
        <v>2909</v>
      </c>
    </row>
    <row r="28" spans="2:4" x14ac:dyDescent="0.3">
      <c r="B28" s="92" t="s">
        <v>164</v>
      </c>
      <c r="C28" s="92"/>
    </row>
    <row r="29" spans="2:4" x14ac:dyDescent="0.3">
      <c r="B29" s="84" t="s">
        <v>165</v>
      </c>
      <c r="C29" s="84" t="s">
        <v>166</v>
      </c>
    </row>
    <row r="30" spans="2:4" ht="36" x14ac:dyDescent="0.3">
      <c r="B30" s="84" t="s">
        <v>167</v>
      </c>
      <c r="C30" s="90" t="s">
        <v>2910</v>
      </c>
    </row>
    <row r="31" spans="2:4" ht="24" x14ac:dyDescent="0.3">
      <c r="B31" s="84" t="s">
        <v>169</v>
      </c>
      <c r="C31" s="90" t="s">
        <v>2911</v>
      </c>
    </row>
    <row r="32" spans="2:4" x14ac:dyDescent="0.3">
      <c r="B32" s="84" t="s">
        <v>171</v>
      </c>
      <c r="C32" s="90" t="s">
        <v>2912</v>
      </c>
    </row>
    <row r="33" spans="2:3" ht="24" x14ac:dyDescent="0.3">
      <c r="B33" s="84" t="s">
        <v>173</v>
      </c>
      <c r="C33" s="90" t="s">
        <v>2913</v>
      </c>
    </row>
    <row r="34" spans="2:3" ht="24" x14ac:dyDescent="0.3">
      <c r="B34" s="84" t="s">
        <v>175</v>
      </c>
      <c r="C34" s="90" t="s">
        <v>2914</v>
      </c>
    </row>
    <row r="35" spans="2:3" ht="36" x14ac:dyDescent="0.3">
      <c r="B35" s="84" t="s">
        <v>177</v>
      </c>
      <c r="C35" s="90" t="s">
        <v>2915</v>
      </c>
    </row>
    <row r="36" spans="2:3" ht="24" x14ac:dyDescent="0.3">
      <c r="B36" s="84" t="s">
        <v>179</v>
      </c>
      <c r="C36" s="90" t="s">
        <v>2916</v>
      </c>
    </row>
    <row r="37" spans="2:3" ht="24" x14ac:dyDescent="0.3">
      <c r="B37" s="84" t="s">
        <v>181</v>
      </c>
      <c r="C37" s="90" t="s">
        <v>2917</v>
      </c>
    </row>
    <row r="38" spans="2:3" x14ac:dyDescent="0.3">
      <c r="B38" s="84" t="s">
        <v>183</v>
      </c>
      <c r="C38" s="90" t="s">
        <v>2918</v>
      </c>
    </row>
    <row r="40" spans="2:3" ht="15.6" x14ac:dyDescent="0.3">
      <c r="B40" s="59" t="s">
        <v>185</v>
      </c>
    </row>
    <row r="41" spans="2:3" x14ac:dyDescent="0.3">
      <c r="B41" s="76" t="s">
        <v>186</v>
      </c>
      <c r="C41" s="76"/>
    </row>
    <row r="42" spans="2:3" ht="48" x14ac:dyDescent="0.3">
      <c r="B42" s="72" t="s">
        <v>187</v>
      </c>
      <c r="C42" s="88" t="s">
        <v>2919</v>
      </c>
    </row>
    <row r="43" spans="2:3" ht="48" x14ac:dyDescent="0.3">
      <c r="B43" s="72" t="s">
        <v>1258</v>
      </c>
      <c r="C43" s="88" t="s">
        <v>2920</v>
      </c>
    </row>
    <row r="44" spans="2:3" ht="36" x14ac:dyDescent="0.3">
      <c r="B44" s="72" t="s">
        <v>2921</v>
      </c>
      <c r="C44" s="88" t="s">
        <v>2922</v>
      </c>
    </row>
    <row r="45" spans="2:3" ht="48" x14ac:dyDescent="0.3">
      <c r="B45" s="72" t="s">
        <v>2923</v>
      </c>
      <c r="C45" s="88" t="s">
        <v>2924</v>
      </c>
    </row>
    <row r="46" spans="2:3" ht="48" x14ac:dyDescent="0.3">
      <c r="B46" s="72" t="s">
        <v>2925</v>
      </c>
      <c r="C46" s="88" t="s">
        <v>2926</v>
      </c>
    </row>
    <row r="47" spans="2:3" ht="48" x14ac:dyDescent="0.3">
      <c r="B47" s="72" t="s">
        <v>390</v>
      </c>
      <c r="C47" s="88" t="s">
        <v>2927</v>
      </c>
    </row>
    <row r="49" spans="2:10" ht="31.2" x14ac:dyDescent="0.3">
      <c r="B49" s="59" t="s">
        <v>195</v>
      </c>
    </row>
    <row r="50" spans="2:10" x14ac:dyDescent="0.3">
      <c r="B50" s="89" t="s">
        <v>196</v>
      </c>
      <c r="C50" s="89" t="s">
        <v>1692</v>
      </c>
      <c r="D50" s="89" t="s">
        <v>1695</v>
      </c>
      <c r="E50" s="89" t="s">
        <v>1698</v>
      </c>
      <c r="F50" s="89" t="s">
        <v>1701</v>
      </c>
      <c r="G50" s="89" t="s">
        <v>1704</v>
      </c>
      <c r="H50" s="89" t="s">
        <v>1707</v>
      </c>
      <c r="I50" s="89" t="s">
        <v>1727</v>
      </c>
      <c r="J50" s="89" t="s">
        <v>1728</v>
      </c>
    </row>
    <row r="51" spans="2:10" ht="72" x14ac:dyDescent="0.3">
      <c r="B51" s="77" t="s">
        <v>130</v>
      </c>
      <c r="C51" s="93" t="s">
        <v>2928</v>
      </c>
      <c r="D51" s="93" t="s">
        <v>2929</v>
      </c>
      <c r="E51" s="93" t="s">
        <v>2930</v>
      </c>
      <c r="F51" s="93" t="s">
        <v>2931</v>
      </c>
      <c r="G51" s="93" t="s">
        <v>2932</v>
      </c>
      <c r="H51" s="93" t="s">
        <v>2933</v>
      </c>
      <c r="I51" s="93" t="s">
        <v>2934</v>
      </c>
      <c r="J51" s="93" t="s">
        <v>2935</v>
      </c>
    </row>
    <row r="52" spans="2:10" ht="228" x14ac:dyDescent="0.3">
      <c r="B52" s="72" t="s">
        <v>208</v>
      </c>
      <c r="C52" s="88" t="s">
        <v>2936</v>
      </c>
      <c r="D52" s="88" t="s">
        <v>2937</v>
      </c>
      <c r="E52" s="88" t="s">
        <v>2938</v>
      </c>
      <c r="F52" s="88" t="s">
        <v>2939</v>
      </c>
      <c r="G52" s="88" t="s">
        <v>2940</v>
      </c>
      <c r="H52" s="88" t="s">
        <v>2941</v>
      </c>
      <c r="I52" s="88" t="s">
        <v>2942</v>
      </c>
      <c r="J52" s="88" t="s">
        <v>2943</v>
      </c>
    </row>
    <row r="53" spans="2:10" ht="48" x14ac:dyDescent="0.3">
      <c r="B53" s="72" t="s">
        <v>167</v>
      </c>
      <c r="C53" s="88" t="s">
        <v>1107</v>
      </c>
      <c r="D53" s="88" t="s">
        <v>2944</v>
      </c>
      <c r="E53" s="88" t="s">
        <v>2945</v>
      </c>
      <c r="F53" s="88" t="s">
        <v>2946</v>
      </c>
      <c r="G53" s="88" t="s">
        <v>2947</v>
      </c>
      <c r="H53" s="88" t="s">
        <v>2948</v>
      </c>
      <c r="I53" s="88" t="s">
        <v>2949</v>
      </c>
      <c r="J53" s="88" t="s">
        <v>2950</v>
      </c>
    </row>
    <row r="54" spans="2:10" ht="36" x14ac:dyDescent="0.3">
      <c r="B54" s="72" t="s">
        <v>169</v>
      </c>
      <c r="C54" s="88" t="s">
        <v>2951</v>
      </c>
      <c r="D54" s="88" t="s">
        <v>221</v>
      </c>
      <c r="E54" s="88" t="s">
        <v>2952</v>
      </c>
      <c r="F54" s="88" t="s">
        <v>221</v>
      </c>
      <c r="G54" s="88" t="s">
        <v>1471</v>
      </c>
      <c r="H54" s="88" t="s">
        <v>2953</v>
      </c>
      <c r="I54" s="88" t="s">
        <v>2954</v>
      </c>
      <c r="J54" s="88" t="s">
        <v>2955</v>
      </c>
    </row>
    <row r="55" spans="2:10" x14ac:dyDescent="0.3">
      <c r="B55" s="72" t="s">
        <v>231</v>
      </c>
      <c r="C55" s="88" t="s">
        <v>219</v>
      </c>
      <c r="D55" s="88" t="s">
        <v>232</v>
      </c>
      <c r="E55" s="88" t="s">
        <v>232</v>
      </c>
      <c r="F55" s="88" t="s">
        <v>232</v>
      </c>
      <c r="G55" s="88" t="s">
        <v>232</v>
      </c>
      <c r="H55" s="88" t="s">
        <v>232</v>
      </c>
      <c r="I55" s="88" t="s">
        <v>232</v>
      </c>
      <c r="J55" s="88" t="s">
        <v>232</v>
      </c>
    </row>
    <row r="56" spans="2:10" ht="36" x14ac:dyDescent="0.3">
      <c r="B56" s="72" t="s">
        <v>177</v>
      </c>
      <c r="C56" s="88" t="s">
        <v>2956</v>
      </c>
      <c r="D56" s="88" t="s">
        <v>2957</v>
      </c>
      <c r="E56" s="88" t="s">
        <v>279</v>
      </c>
      <c r="F56" s="88" t="s">
        <v>233</v>
      </c>
      <c r="G56" s="88" t="s">
        <v>1755</v>
      </c>
      <c r="H56" s="88" t="s">
        <v>2958</v>
      </c>
      <c r="I56" s="88" t="s">
        <v>2959</v>
      </c>
      <c r="J56" s="88" t="s">
        <v>2960</v>
      </c>
    </row>
    <row r="57" spans="2:10" ht="24" x14ac:dyDescent="0.3">
      <c r="B57" s="72" t="s">
        <v>179</v>
      </c>
      <c r="C57" s="88" t="s">
        <v>2961</v>
      </c>
      <c r="D57" s="88" t="s">
        <v>1119</v>
      </c>
      <c r="E57" s="88" t="s">
        <v>2962</v>
      </c>
      <c r="F57" s="88" t="s">
        <v>225</v>
      </c>
      <c r="G57" s="88" t="s">
        <v>2963</v>
      </c>
      <c r="H57" s="88" t="s">
        <v>228</v>
      </c>
      <c r="I57" s="88" t="s">
        <v>236</v>
      </c>
      <c r="J57" s="88" t="s">
        <v>223</v>
      </c>
    </row>
    <row r="58" spans="2:10" ht="48" x14ac:dyDescent="0.3">
      <c r="B58" s="72" t="s">
        <v>238</v>
      </c>
      <c r="C58" s="88" t="s">
        <v>240</v>
      </c>
      <c r="D58" s="88" t="s">
        <v>2964</v>
      </c>
      <c r="E58" s="88" t="s">
        <v>1119</v>
      </c>
      <c r="F58" s="88" t="s">
        <v>1119</v>
      </c>
      <c r="G58" s="88" t="s">
        <v>2965</v>
      </c>
      <c r="H58" s="88" t="s">
        <v>2966</v>
      </c>
      <c r="I58" s="88" t="s">
        <v>2967</v>
      </c>
      <c r="J58" s="88" t="s">
        <v>239</v>
      </c>
    </row>
    <row r="59" spans="2:10" x14ac:dyDescent="0.3">
      <c r="B59" s="72" t="s">
        <v>181</v>
      </c>
      <c r="C59" s="88" t="s">
        <v>228</v>
      </c>
      <c r="D59" s="88" t="s">
        <v>232</v>
      </c>
      <c r="E59" s="88" t="s">
        <v>232</v>
      </c>
      <c r="F59" s="88" t="s">
        <v>232</v>
      </c>
      <c r="G59" s="88" t="s">
        <v>232</v>
      </c>
      <c r="H59" s="88" t="s">
        <v>232</v>
      </c>
      <c r="I59" s="88" t="s">
        <v>232</v>
      </c>
      <c r="J59" s="88" t="s">
        <v>450</v>
      </c>
    </row>
    <row r="60" spans="2:10" x14ac:dyDescent="0.3">
      <c r="B60" s="72" t="s">
        <v>183</v>
      </c>
      <c r="C60" s="88" t="s">
        <v>228</v>
      </c>
      <c r="D60" s="88" t="s">
        <v>228</v>
      </c>
      <c r="E60" s="88" t="s">
        <v>228</v>
      </c>
      <c r="F60" s="88" t="s">
        <v>228</v>
      </c>
      <c r="G60" s="88" t="s">
        <v>228</v>
      </c>
      <c r="H60" s="88" t="s">
        <v>228</v>
      </c>
      <c r="I60" s="88" t="s">
        <v>228</v>
      </c>
      <c r="J60" s="88" t="s">
        <v>232</v>
      </c>
    </row>
    <row r="61" spans="2:10" ht="216" x14ac:dyDescent="0.3">
      <c r="B61" s="72" t="s">
        <v>243</v>
      </c>
      <c r="C61" s="88" t="s">
        <v>2968</v>
      </c>
      <c r="D61" s="88" t="s">
        <v>2969</v>
      </c>
      <c r="E61" s="88" t="s">
        <v>2970</v>
      </c>
      <c r="F61" s="88" t="s">
        <v>2971</v>
      </c>
      <c r="G61" s="88" t="s">
        <v>2972</v>
      </c>
      <c r="H61" s="88" t="s">
        <v>2973</v>
      </c>
      <c r="I61" s="88" t="s">
        <v>2974</v>
      </c>
      <c r="J61" s="88" t="s">
        <v>2975</v>
      </c>
    </row>
    <row r="63" spans="2:10" ht="27.6" customHeight="1" x14ac:dyDescent="0.3">
      <c r="B63" s="92" t="s">
        <v>2976</v>
      </c>
      <c r="C63" s="92"/>
      <c r="D63" s="92"/>
      <c r="E63" s="92"/>
      <c r="F63" s="92"/>
      <c r="G63" s="92"/>
      <c r="H63" s="92"/>
      <c r="I63" s="92"/>
      <c r="J63" s="92"/>
    </row>
    <row r="64" spans="2:10" ht="27.6" x14ac:dyDescent="0.3">
      <c r="B64" s="72" t="s">
        <v>255</v>
      </c>
      <c r="C64" s="72" t="s">
        <v>167</v>
      </c>
      <c r="D64" s="72" t="s">
        <v>169</v>
      </c>
      <c r="E64" s="72" t="s">
        <v>171</v>
      </c>
      <c r="F64" s="72" t="s">
        <v>177</v>
      </c>
      <c r="G64" s="72" t="s">
        <v>179</v>
      </c>
      <c r="H64" s="72" t="s">
        <v>175</v>
      </c>
      <c r="I64" s="72" t="s">
        <v>181</v>
      </c>
      <c r="J64" s="72" t="s">
        <v>183</v>
      </c>
    </row>
    <row r="65" spans="2:10" ht="24" x14ac:dyDescent="0.3">
      <c r="B65" s="88">
        <v>1</v>
      </c>
      <c r="C65" s="88" t="s">
        <v>2977</v>
      </c>
      <c r="D65" s="88" t="s">
        <v>2978</v>
      </c>
      <c r="E65" s="88" t="s">
        <v>219</v>
      </c>
      <c r="F65" s="88" t="s">
        <v>2979</v>
      </c>
      <c r="G65" s="88" t="s">
        <v>2961</v>
      </c>
      <c r="H65" s="88" t="s">
        <v>240</v>
      </c>
      <c r="I65" s="88" t="s">
        <v>228</v>
      </c>
      <c r="J65" s="88" t="s">
        <v>228</v>
      </c>
    </row>
    <row r="66" spans="2:10" x14ac:dyDescent="0.3">
      <c r="B66" s="88">
        <v>2</v>
      </c>
      <c r="C66" s="88" t="s">
        <v>470</v>
      </c>
      <c r="D66" s="88" t="s">
        <v>221</v>
      </c>
      <c r="E66" s="88" t="s">
        <v>232</v>
      </c>
      <c r="F66" s="88" t="s">
        <v>965</v>
      </c>
      <c r="G66" s="88" t="s">
        <v>1119</v>
      </c>
      <c r="H66" s="88" t="s">
        <v>219</v>
      </c>
      <c r="I66" s="88" t="s">
        <v>232</v>
      </c>
      <c r="J66" s="88" t="s">
        <v>228</v>
      </c>
    </row>
    <row r="67" spans="2:10" ht="24" x14ac:dyDescent="0.3">
      <c r="B67" s="88">
        <v>3</v>
      </c>
      <c r="C67" s="88" t="s">
        <v>223</v>
      </c>
      <c r="D67" s="88" t="s">
        <v>977</v>
      </c>
      <c r="E67" s="88" t="s">
        <v>232</v>
      </c>
      <c r="F67" s="88" t="s">
        <v>583</v>
      </c>
      <c r="G67" s="88" t="s">
        <v>2980</v>
      </c>
      <c r="H67" s="88" t="s">
        <v>1119</v>
      </c>
      <c r="I67" s="88" t="s">
        <v>232</v>
      </c>
      <c r="J67" s="88" t="s">
        <v>228</v>
      </c>
    </row>
    <row r="68" spans="2:10" x14ac:dyDescent="0.3">
      <c r="B68" s="88">
        <v>4</v>
      </c>
      <c r="C68" s="88" t="s">
        <v>223</v>
      </c>
      <c r="D68" s="88" t="s">
        <v>221</v>
      </c>
      <c r="E68" s="88" t="s">
        <v>232</v>
      </c>
      <c r="F68" s="88" t="s">
        <v>233</v>
      </c>
      <c r="G68" s="88" t="s">
        <v>225</v>
      </c>
      <c r="H68" s="88" t="s">
        <v>1119</v>
      </c>
      <c r="I68" s="88" t="s">
        <v>232</v>
      </c>
      <c r="J68" s="88" t="s">
        <v>228</v>
      </c>
    </row>
    <row r="69" spans="2:10" ht="24" x14ac:dyDescent="0.3">
      <c r="B69" s="88">
        <v>5</v>
      </c>
      <c r="C69" s="88" t="s">
        <v>2981</v>
      </c>
      <c r="D69" s="88" t="s">
        <v>1471</v>
      </c>
      <c r="E69" s="88" t="s">
        <v>232</v>
      </c>
      <c r="F69" s="88" t="s">
        <v>965</v>
      </c>
      <c r="G69" s="88" t="s">
        <v>2963</v>
      </c>
      <c r="H69" s="88" t="s">
        <v>2982</v>
      </c>
      <c r="I69" s="88" t="s">
        <v>232</v>
      </c>
      <c r="J69" s="88" t="s">
        <v>228</v>
      </c>
    </row>
    <row r="70" spans="2:10" ht="24" x14ac:dyDescent="0.3">
      <c r="B70" s="88">
        <v>6</v>
      </c>
      <c r="C70" s="88" t="s">
        <v>224</v>
      </c>
      <c r="D70" s="88" t="s">
        <v>1471</v>
      </c>
      <c r="E70" s="88" t="s">
        <v>232</v>
      </c>
      <c r="F70" s="88" t="s">
        <v>2958</v>
      </c>
      <c r="G70" s="88" t="s">
        <v>228</v>
      </c>
      <c r="H70" s="88" t="s">
        <v>965</v>
      </c>
      <c r="I70" s="88" t="s">
        <v>232</v>
      </c>
      <c r="J70" s="88" t="s">
        <v>228</v>
      </c>
    </row>
    <row r="71" spans="2:10" x14ac:dyDescent="0.3">
      <c r="B71" s="88">
        <v>7</v>
      </c>
      <c r="C71" s="88" t="s">
        <v>224</v>
      </c>
      <c r="D71" s="88" t="s">
        <v>278</v>
      </c>
      <c r="E71" s="88" t="s">
        <v>232</v>
      </c>
      <c r="F71" s="88" t="s">
        <v>236</v>
      </c>
      <c r="G71" s="88" t="s">
        <v>236</v>
      </c>
      <c r="H71" s="88" t="s">
        <v>225</v>
      </c>
      <c r="I71" s="88" t="s">
        <v>232</v>
      </c>
      <c r="J71" s="88" t="s">
        <v>228</v>
      </c>
    </row>
    <row r="72" spans="2:10" ht="24" x14ac:dyDescent="0.3">
      <c r="B72" s="88">
        <v>8</v>
      </c>
      <c r="C72" s="88" t="s">
        <v>223</v>
      </c>
      <c r="D72" s="88" t="s">
        <v>229</v>
      </c>
      <c r="E72" s="88" t="s">
        <v>232</v>
      </c>
      <c r="F72" s="88" t="s">
        <v>2983</v>
      </c>
      <c r="G72" s="88" t="s">
        <v>223</v>
      </c>
      <c r="H72" s="88" t="s">
        <v>239</v>
      </c>
      <c r="I72" s="88" t="s">
        <v>450</v>
      </c>
      <c r="J72" s="88" t="s">
        <v>232</v>
      </c>
    </row>
    <row r="74" spans="2:10" ht="15.6" x14ac:dyDescent="0.3">
      <c r="B74" s="59" t="s">
        <v>264</v>
      </c>
    </row>
    <row r="75" spans="2:10" x14ac:dyDescent="0.3">
      <c r="B75" s="94" t="s">
        <v>196</v>
      </c>
      <c r="C75" s="94">
        <v>9</v>
      </c>
      <c r="D75" s="94">
        <v>10</v>
      </c>
      <c r="E75" s="94">
        <v>11</v>
      </c>
      <c r="F75" s="94">
        <v>12</v>
      </c>
      <c r="G75" s="94">
        <v>13</v>
      </c>
      <c r="H75" s="94">
        <v>14</v>
      </c>
    </row>
    <row r="76" spans="2:10" ht="72" x14ac:dyDescent="0.3">
      <c r="B76" s="77" t="s">
        <v>130</v>
      </c>
      <c r="C76" s="93" t="s">
        <v>1333</v>
      </c>
      <c r="D76" s="93" t="s">
        <v>2984</v>
      </c>
      <c r="E76" s="93" t="s">
        <v>2985</v>
      </c>
      <c r="F76" s="93" t="s">
        <v>2986</v>
      </c>
      <c r="G76" s="93" t="s">
        <v>2987</v>
      </c>
      <c r="H76" s="93" t="s">
        <v>2988</v>
      </c>
    </row>
    <row r="77" spans="2:10" ht="288" x14ac:dyDescent="0.3">
      <c r="B77" s="72" t="s">
        <v>208</v>
      </c>
      <c r="C77" s="88" t="s">
        <v>2989</v>
      </c>
      <c r="D77" s="88" t="s">
        <v>2990</v>
      </c>
      <c r="E77" s="88" t="s">
        <v>2991</v>
      </c>
      <c r="F77" s="88" t="s">
        <v>2992</v>
      </c>
      <c r="G77" s="88" t="s">
        <v>2993</v>
      </c>
      <c r="H77" s="88" t="s">
        <v>2994</v>
      </c>
    </row>
    <row r="78" spans="2:10" ht="24" x14ac:dyDescent="0.3">
      <c r="B78" s="72" t="s">
        <v>167</v>
      </c>
      <c r="C78" s="88" t="s">
        <v>221</v>
      </c>
      <c r="D78" s="88" t="s">
        <v>221</v>
      </c>
      <c r="E78" s="88" t="s">
        <v>277</v>
      </c>
      <c r="F78" s="88" t="s">
        <v>221</v>
      </c>
      <c r="G78" s="88" t="s">
        <v>1290</v>
      </c>
      <c r="H78" s="88" t="s">
        <v>277</v>
      </c>
    </row>
    <row r="79" spans="2:10" ht="24" x14ac:dyDescent="0.3">
      <c r="B79" s="72" t="s">
        <v>169</v>
      </c>
      <c r="C79" s="88" t="s">
        <v>221</v>
      </c>
      <c r="D79" s="88" t="s">
        <v>2995</v>
      </c>
      <c r="E79" s="88" t="s">
        <v>221</v>
      </c>
      <c r="F79" s="88" t="s">
        <v>221</v>
      </c>
      <c r="G79" s="88" t="s">
        <v>229</v>
      </c>
      <c r="H79" s="88" t="s">
        <v>221</v>
      </c>
    </row>
    <row r="80" spans="2:10" x14ac:dyDescent="0.3">
      <c r="B80" s="72" t="s">
        <v>231</v>
      </c>
      <c r="C80" s="88" t="s">
        <v>232</v>
      </c>
      <c r="D80" s="88" t="s">
        <v>232</v>
      </c>
      <c r="E80" s="88" t="s">
        <v>232</v>
      </c>
      <c r="F80" s="88" t="s">
        <v>232</v>
      </c>
      <c r="G80" s="88" t="s">
        <v>232</v>
      </c>
      <c r="H80" s="88" t="s">
        <v>232</v>
      </c>
    </row>
    <row r="81" spans="2:10" ht="36" x14ac:dyDescent="0.3">
      <c r="B81" s="72" t="s">
        <v>177</v>
      </c>
      <c r="C81" s="88" t="s">
        <v>279</v>
      </c>
      <c r="D81" s="88" t="s">
        <v>279</v>
      </c>
      <c r="E81" s="88" t="s">
        <v>279</v>
      </c>
      <c r="F81" s="88" t="s">
        <v>279</v>
      </c>
      <c r="G81" s="88" t="s">
        <v>2839</v>
      </c>
      <c r="H81" s="88" t="s">
        <v>1756</v>
      </c>
    </row>
    <row r="82" spans="2:10" ht="24" x14ac:dyDescent="0.3">
      <c r="B82" s="72" t="s">
        <v>179</v>
      </c>
      <c r="C82" s="88" t="s">
        <v>449</v>
      </c>
      <c r="D82" s="88" t="s">
        <v>449</v>
      </c>
      <c r="E82" s="88" t="s">
        <v>449</v>
      </c>
      <c r="F82" s="88" t="s">
        <v>449</v>
      </c>
      <c r="G82" s="88" t="s">
        <v>223</v>
      </c>
      <c r="H82" s="88" t="s">
        <v>225</v>
      </c>
    </row>
    <row r="83" spans="2:10" ht="24" x14ac:dyDescent="0.3">
      <c r="B83" s="72" t="s">
        <v>238</v>
      </c>
      <c r="C83" s="88" t="s">
        <v>239</v>
      </c>
      <c r="D83" s="88" t="s">
        <v>239</v>
      </c>
      <c r="E83" s="88" t="s">
        <v>449</v>
      </c>
      <c r="F83" s="88" t="s">
        <v>239</v>
      </c>
      <c r="G83" s="88" t="s">
        <v>239</v>
      </c>
      <c r="H83" s="88" t="s">
        <v>449</v>
      </c>
    </row>
    <row r="84" spans="2:10" x14ac:dyDescent="0.3">
      <c r="B84" s="72" t="s">
        <v>181</v>
      </c>
      <c r="C84" s="88" t="s">
        <v>450</v>
      </c>
      <c r="D84" s="88" t="s">
        <v>232</v>
      </c>
      <c r="E84" s="88" t="s">
        <v>450</v>
      </c>
      <c r="F84" s="88" t="s">
        <v>232</v>
      </c>
      <c r="G84" s="88" t="s">
        <v>450</v>
      </c>
      <c r="H84" s="88" t="s">
        <v>450</v>
      </c>
    </row>
    <row r="85" spans="2:10" x14ac:dyDescent="0.3">
      <c r="B85" s="72" t="s">
        <v>183</v>
      </c>
      <c r="C85" s="88" t="s">
        <v>232</v>
      </c>
      <c r="D85" s="88" t="s">
        <v>232</v>
      </c>
      <c r="E85" s="88" t="s">
        <v>232</v>
      </c>
      <c r="F85" s="88" t="s">
        <v>232</v>
      </c>
      <c r="G85" s="88" t="s">
        <v>232</v>
      </c>
      <c r="H85" s="88" t="s">
        <v>232</v>
      </c>
    </row>
    <row r="86" spans="2:10" ht="204" x14ac:dyDescent="0.3">
      <c r="B86" s="72" t="s">
        <v>243</v>
      </c>
      <c r="C86" s="88" t="s">
        <v>2996</v>
      </c>
      <c r="D86" s="88" t="s">
        <v>2997</v>
      </c>
      <c r="E86" s="88" t="s">
        <v>2998</v>
      </c>
      <c r="F86" s="88" t="s">
        <v>2999</v>
      </c>
      <c r="G86" s="88" t="s">
        <v>3000</v>
      </c>
      <c r="H86" s="88" t="s">
        <v>3001</v>
      </c>
    </row>
    <row r="88" spans="2:10" ht="27.6" customHeight="1" x14ac:dyDescent="0.3">
      <c r="B88" s="87" t="s">
        <v>287</v>
      </c>
      <c r="C88" s="87"/>
      <c r="D88" s="87"/>
      <c r="E88" s="87"/>
      <c r="F88" s="87"/>
      <c r="G88" s="87"/>
      <c r="H88" s="87"/>
      <c r="I88" s="87"/>
      <c r="J88" s="87"/>
    </row>
    <row r="89" spans="2:10" ht="27.6" x14ac:dyDescent="0.3">
      <c r="B89" s="72" t="s">
        <v>255</v>
      </c>
      <c r="C89" s="72" t="s">
        <v>167</v>
      </c>
      <c r="D89" s="72" t="s">
        <v>169</v>
      </c>
      <c r="E89" s="72" t="s">
        <v>171</v>
      </c>
      <c r="F89" s="72" t="s">
        <v>177</v>
      </c>
      <c r="G89" s="72" t="s">
        <v>179</v>
      </c>
      <c r="H89" s="72" t="s">
        <v>175</v>
      </c>
      <c r="I89" s="72" t="s">
        <v>181</v>
      </c>
      <c r="J89" s="72" t="s">
        <v>183</v>
      </c>
    </row>
    <row r="90" spans="2:10" ht="24" x14ac:dyDescent="0.3">
      <c r="B90" s="88">
        <v>9</v>
      </c>
      <c r="C90" s="88" t="s">
        <v>221</v>
      </c>
      <c r="D90" s="88" t="s">
        <v>221</v>
      </c>
      <c r="E90" s="88" t="s">
        <v>232</v>
      </c>
      <c r="F90" s="88" t="s">
        <v>583</v>
      </c>
      <c r="G90" s="88" t="s">
        <v>2234</v>
      </c>
      <c r="H90" s="88" t="s">
        <v>239</v>
      </c>
      <c r="I90" s="88" t="s">
        <v>450</v>
      </c>
      <c r="J90" s="88" t="s">
        <v>232</v>
      </c>
    </row>
    <row r="91" spans="2:10" ht="24" x14ac:dyDescent="0.3">
      <c r="B91" s="88">
        <v>10</v>
      </c>
      <c r="C91" s="88" t="s">
        <v>221</v>
      </c>
      <c r="D91" s="88" t="s">
        <v>229</v>
      </c>
      <c r="E91" s="88" t="s">
        <v>232</v>
      </c>
      <c r="F91" s="88" t="s">
        <v>583</v>
      </c>
      <c r="G91" s="88" t="s">
        <v>2234</v>
      </c>
      <c r="H91" s="88" t="s">
        <v>239</v>
      </c>
      <c r="I91" s="88" t="s">
        <v>232</v>
      </c>
      <c r="J91" s="88" t="s">
        <v>232</v>
      </c>
    </row>
    <row r="92" spans="2:10" ht="24" x14ac:dyDescent="0.3">
      <c r="B92" s="88">
        <v>11</v>
      </c>
      <c r="C92" s="88" t="s">
        <v>277</v>
      </c>
      <c r="D92" s="88" t="s">
        <v>221</v>
      </c>
      <c r="E92" s="88" t="s">
        <v>232</v>
      </c>
      <c r="F92" s="88" t="s">
        <v>583</v>
      </c>
      <c r="G92" s="88" t="s">
        <v>2234</v>
      </c>
      <c r="H92" s="88" t="s">
        <v>2234</v>
      </c>
      <c r="I92" s="88" t="s">
        <v>450</v>
      </c>
      <c r="J92" s="88" t="s">
        <v>232</v>
      </c>
    </row>
    <row r="93" spans="2:10" ht="24" x14ac:dyDescent="0.3">
      <c r="B93" s="88">
        <v>12</v>
      </c>
      <c r="C93" s="88" t="s">
        <v>221</v>
      </c>
      <c r="D93" s="88" t="s">
        <v>221</v>
      </c>
      <c r="E93" s="88" t="s">
        <v>232</v>
      </c>
      <c r="F93" s="88" t="s">
        <v>583</v>
      </c>
      <c r="G93" s="88" t="s">
        <v>2234</v>
      </c>
      <c r="H93" s="88" t="s">
        <v>239</v>
      </c>
      <c r="I93" s="88" t="s">
        <v>232</v>
      </c>
      <c r="J93" s="88" t="s">
        <v>232</v>
      </c>
    </row>
    <row r="94" spans="2:10" ht="24" x14ac:dyDescent="0.3">
      <c r="B94" s="88">
        <v>13</v>
      </c>
      <c r="C94" s="88" t="s">
        <v>219</v>
      </c>
      <c r="D94" s="88" t="s">
        <v>229</v>
      </c>
      <c r="E94" s="88" t="s">
        <v>232</v>
      </c>
      <c r="F94" s="88" t="s">
        <v>583</v>
      </c>
      <c r="G94" s="88" t="s">
        <v>223</v>
      </c>
      <c r="H94" s="88" t="s">
        <v>239</v>
      </c>
      <c r="I94" s="88" t="s">
        <v>450</v>
      </c>
      <c r="J94" s="88" t="s">
        <v>232</v>
      </c>
    </row>
    <row r="95" spans="2:10" ht="24" x14ac:dyDescent="0.3">
      <c r="B95" s="88">
        <v>14</v>
      </c>
      <c r="C95" s="88" t="s">
        <v>277</v>
      </c>
      <c r="D95" s="88" t="s">
        <v>221</v>
      </c>
      <c r="E95" s="88" t="s">
        <v>232</v>
      </c>
      <c r="F95" s="88" t="s">
        <v>3002</v>
      </c>
      <c r="G95" s="88" t="s">
        <v>225</v>
      </c>
      <c r="H95" s="88" t="s">
        <v>2234</v>
      </c>
      <c r="I95" s="88" t="s">
        <v>450</v>
      </c>
      <c r="J95" s="88" t="s">
        <v>232</v>
      </c>
    </row>
    <row r="97" spans="2:10" x14ac:dyDescent="0.3">
      <c r="B97" s="92" t="s">
        <v>288</v>
      </c>
      <c r="C97" s="92"/>
      <c r="D97" s="92"/>
      <c r="E97" s="92"/>
      <c r="F97" s="92"/>
      <c r="G97" s="92"/>
      <c r="H97" s="92"/>
      <c r="I97" s="92"/>
      <c r="J97" s="92"/>
    </row>
    <row r="98" spans="2:10" ht="27.6" x14ac:dyDescent="0.3">
      <c r="B98" s="72" t="s">
        <v>289</v>
      </c>
      <c r="C98" s="72" t="s">
        <v>167</v>
      </c>
      <c r="D98" s="72" t="s">
        <v>169</v>
      </c>
      <c r="E98" s="72" t="s">
        <v>171</v>
      </c>
      <c r="F98" s="72" t="s">
        <v>177</v>
      </c>
      <c r="G98" s="72" t="s">
        <v>179</v>
      </c>
      <c r="H98" s="72" t="s">
        <v>175</v>
      </c>
      <c r="I98" s="72" t="s">
        <v>181</v>
      </c>
      <c r="J98" s="72" t="s">
        <v>183</v>
      </c>
    </row>
    <row r="99" spans="2:10" ht="24" x14ac:dyDescent="0.3">
      <c r="B99" s="88">
        <v>1</v>
      </c>
      <c r="C99" s="88" t="s">
        <v>277</v>
      </c>
      <c r="D99" s="88" t="s">
        <v>842</v>
      </c>
      <c r="E99" s="88" t="s">
        <v>293</v>
      </c>
      <c r="F99" s="88" t="s">
        <v>292</v>
      </c>
      <c r="G99" s="88" t="s">
        <v>2239</v>
      </c>
      <c r="H99" s="88" t="s">
        <v>3003</v>
      </c>
      <c r="I99" s="88" t="s">
        <v>293</v>
      </c>
      <c r="J99" s="88" t="s">
        <v>228</v>
      </c>
    </row>
    <row r="100" spans="2:10" ht="24" x14ac:dyDescent="0.3">
      <c r="B100" s="88">
        <v>2</v>
      </c>
      <c r="C100" s="88" t="s">
        <v>224</v>
      </c>
      <c r="D100" s="88" t="s">
        <v>3004</v>
      </c>
      <c r="E100" s="88" t="s">
        <v>1753</v>
      </c>
      <c r="F100" s="88" t="s">
        <v>1810</v>
      </c>
      <c r="G100" s="88" t="s">
        <v>2961</v>
      </c>
      <c r="H100" s="88" t="s">
        <v>240</v>
      </c>
      <c r="I100" s="88" t="s">
        <v>3005</v>
      </c>
      <c r="J100" s="88" t="s">
        <v>228</v>
      </c>
    </row>
    <row r="101" spans="2:10" ht="24" x14ac:dyDescent="0.3">
      <c r="B101" s="88">
        <v>3</v>
      </c>
      <c r="C101" s="88" t="s">
        <v>223</v>
      </c>
      <c r="D101" s="88" t="s">
        <v>1751</v>
      </c>
      <c r="E101" s="88" t="s">
        <v>1753</v>
      </c>
      <c r="F101" s="88" t="s">
        <v>1180</v>
      </c>
      <c r="G101" s="88" t="s">
        <v>1119</v>
      </c>
      <c r="H101" s="88" t="s">
        <v>1181</v>
      </c>
      <c r="I101" s="88" t="s">
        <v>966</v>
      </c>
      <c r="J101" s="88" t="s">
        <v>228</v>
      </c>
    </row>
    <row r="102" spans="2:10" ht="24" x14ac:dyDescent="0.3">
      <c r="B102" s="88">
        <v>4</v>
      </c>
      <c r="C102" s="88" t="s">
        <v>3006</v>
      </c>
      <c r="D102" s="88" t="s">
        <v>3007</v>
      </c>
      <c r="E102" s="88" t="s">
        <v>232</v>
      </c>
      <c r="F102" s="88" t="s">
        <v>583</v>
      </c>
      <c r="G102" s="88" t="s">
        <v>1119</v>
      </c>
      <c r="H102" s="88" t="s">
        <v>1119</v>
      </c>
      <c r="I102" s="88" t="s">
        <v>232</v>
      </c>
      <c r="J102" s="88" t="s">
        <v>232</v>
      </c>
    </row>
    <row r="104" spans="2:10" x14ac:dyDescent="0.3">
      <c r="B104" s="87" t="s">
        <v>306</v>
      </c>
      <c r="C104" s="87"/>
      <c r="D104" s="87"/>
      <c r="E104" s="87"/>
      <c r="F104" s="87"/>
      <c r="G104" s="87"/>
      <c r="H104" s="87"/>
    </row>
    <row r="105" spans="2:10" ht="27.6" x14ac:dyDescent="0.3">
      <c r="B105" s="77" t="s">
        <v>255</v>
      </c>
      <c r="C105" s="77" t="s">
        <v>167</v>
      </c>
      <c r="D105" s="77" t="s">
        <v>311</v>
      </c>
      <c r="E105" s="77" t="s">
        <v>308</v>
      </c>
      <c r="F105" s="77" t="s">
        <v>312</v>
      </c>
      <c r="G105" s="77" t="s">
        <v>181</v>
      </c>
      <c r="H105" s="77" t="s">
        <v>313</v>
      </c>
    </row>
    <row r="106" spans="2:10" x14ac:dyDescent="0.3">
      <c r="B106" s="88">
        <v>1</v>
      </c>
      <c r="C106" s="88">
        <v>5</v>
      </c>
      <c r="D106" s="88">
        <v>5</v>
      </c>
      <c r="E106" s="88">
        <v>5</v>
      </c>
      <c r="F106" s="88">
        <v>4</v>
      </c>
      <c r="G106" s="88">
        <v>4</v>
      </c>
      <c r="H106" s="95">
        <f t="shared" ref="H106:H111" si="0">AVERAGE(C106:G106)</f>
        <v>4.5999999999999996</v>
      </c>
    </row>
    <row r="107" spans="2:10" x14ac:dyDescent="0.3">
      <c r="B107" s="88">
        <v>2</v>
      </c>
      <c r="C107" s="88">
        <v>4</v>
      </c>
      <c r="D107" s="88">
        <v>5</v>
      </c>
      <c r="E107" s="88">
        <v>4</v>
      </c>
      <c r="F107" s="88">
        <v>5</v>
      </c>
      <c r="G107" s="88">
        <v>4</v>
      </c>
      <c r="H107" s="95">
        <f t="shared" si="0"/>
        <v>4.4000000000000004</v>
      </c>
    </row>
    <row r="108" spans="2:10" x14ac:dyDescent="0.3">
      <c r="B108" s="88">
        <v>3</v>
      </c>
      <c r="C108" s="88">
        <v>4</v>
      </c>
      <c r="D108" s="88">
        <v>5</v>
      </c>
      <c r="E108" s="88">
        <v>4</v>
      </c>
      <c r="F108" s="88">
        <v>4</v>
      </c>
      <c r="G108" s="88">
        <v>3</v>
      </c>
      <c r="H108" s="95">
        <f t="shared" si="0"/>
        <v>4</v>
      </c>
    </row>
    <row r="109" spans="2:10" x14ac:dyDescent="0.3">
      <c r="B109" s="88">
        <v>4</v>
      </c>
      <c r="C109" s="88">
        <v>5</v>
      </c>
      <c r="D109" s="88">
        <v>4</v>
      </c>
      <c r="E109" s="88">
        <v>5</v>
      </c>
      <c r="F109" s="88">
        <v>4</v>
      </c>
      <c r="G109" s="88">
        <v>4</v>
      </c>
      <c r="H109" s="95">
        <f t="shared" si="0"/>
        <v>4.4000000000000004</v>
      </c>
    </row>
    <row r="110" spans="2:10" x14ac:dyDescent="0.3">
      <c r="B110" s="88">
        <v>5</v>
      </c>
      <c r="C110" s="88">
        <v>3</v>
      </c>
      <c r="D110" s="88">
        <v>5</v>
      </c>
      <c r="E110" s="88">
        <v>3</v>
      </c>
      <c r="F110" s="88">
        <v>2</v>
      </c>
      <c r="G110" s="88">
        <v>3</v>
      </c>
      <c r="H110" s="95">
        <f t="shared" si="0"/>
        <v>3.2</v>
      </c>
    </row>
    <row r="111" spans="2:10" x14ac:dyDescent="0.3">
      <c r="B111" s="88">
        <v>6</v>
      </c>
      <c r="C111" s="88">
        <v>5</v>
      </c>
      <c r="D111" s="88">
        <v>4</v>
      </c>
      <c r="E111" s="88">
        <v>4</v>
      </c>
      <c r="F111" s="88">
        <v>2</v>
      </c>
      <c r="G111" s="88">
        <v>4</v>
      </c>
      <c r="H111" s="95">
        <f t="shared" si="0"/>
        <v>3.8</v>
      </c>
    </row>
  </sheetData>
  <mergeCells count="9">
    <mergeCell ref="B88:J88"/>
    <mergeCell ref="B97:J97"/>
    <mergeCell ref="B104:H104"/>
    <mergeCell ref="B1:C1"/>
    <mergeCell ref="B10:C10"/>
    <mergeCell ref="B18:D18"/>
    <mergeCell ref="B28:C28"/>
    <mergeCell ref="B41:C41"/>
    <mergeCell ref="B63:J6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471D6-4901-4A22-98D2-9F62A63703A7}">
  <dimension ref="B1:L114"/>
  <sheetViews>
    <sheetView topLeftCell="A89" zoomScale="61" workbookViewId="0">
      <selection activeCell="C120" sqref="C120"/>
    </sheetView>
  </sheetViews>
  <sheetFormatPr defaultColWidth="8.5546875" defaultRowHeight="14.4" x14ac:dyDescent="0.3"/>
  <cols>
    <col min="1" max="1" width="4" customWidth="1"/>
    <col min="2" max="2" width="34" customWidth="1"/>
    <col min="3" max="3" width="52" customWidth="1"/>
    <col min="4" max="21" width="24" customWidth="1"/>
  </cols>
  <sheetData>
    <row r="1" spans="2:3" x14ac:dyDescent="0.3">
      <c r="B1" s="76" t="s">
        <v>130</v>
      </c>
      <c r="C1" s="76"/>
    </row>
    <row r="2" spans="2:3" x14ac:dyDescent="0.3">
      <c r="B2" s="72" t="s">
        <v>131</v>
      </c>
      <c r="C2" s="11" t="s">
        <v>3033</v>
      </c>
    </row>
    <row r="3" spans="2:3" ht="55.2" x14ac:dyDescent="0.3">
      <c r="B3" s="72" t="s">
        <v>132</v>
      </c>
      <c r="C3" s="11" t="s">
        <v>3035</v>
      </c>
    </row>
    <row r="4" spans="2:3" x14ac:dyDescent="0.3">
      <c r="B4" s="72" t="s">
        <v>134</v>
      </c>
      <c r="C4" s="11" t="s">
        <v>3021</v>
      </c>
    </row>
    <row r="5" spans="2:3" ht="138" x14ac:dyDescent="0.3">
      <c r="B5" s="72" t="s">
        <v>136</v>
      </c>
      <c r="C5" s="11" t="s">
        <v>3036</v>
      </c>
    </row>
    <row r="6" spans="2:3" x14ac:dyDescent="0.3">
      <c r="B6" s="72" t="s">
        <v>138</v>
      </c>
      <c r="C6" s="11" t="s">
        <v>139</v>
      </c>
    </row>
    <row r="7" spans="2:3" ht="151.80000000000001" x14ac:dyDescent="0.3">
      <c r="B7" s="72" t="s">
        <v>140</v>
      </c>
      <c r="C7" s="11" t="s">
        <v>3037</v>
      </c>
    </row>
    <row r="9" spans="2:3" x14ac:dyDescent="0.3">
      <c r="B9" s="58" t="s">
        <v>142</v>
      </c>
    </row>
    <row r="10" spans="2:3" x14ac:dyDescent="0.3">
      <c r="B10" s="76" t="s">
        <v>143</v>
      </c>
      <c r="C10" s="76"/>
    </row>
    <row r="11" spans="2:3" ht="110.4" x14ac:dyDescent="0.3">
      <c r="B11" s="72" t="s">
        <v>3038</v>
      </c>
      <c r="C11" s="11" t="s">
        <v>3039</v>
      </c>
    </row>
    <row r="12" spans="2:3" ht="138" x14ac:dyDescent="0.3">
      <c r="B12" s="72" t="s">
        <v>3040</v>
      </c>
      <c r="C12" s="11" t="s">
        <v>3041</v>
      </c>
    </row>
    <row r="13" spans="2:3" ht="138" x14ac:dyDescent="0.3">
      <c r="B13" s="72" t="s">
        <v>3042</v>
      </c>
      <c r="C13" s="11" t="s">
        <v>3043</v>
      </c>
    </row>
    <row r="14" spans="2:3" ht="124.2" x14ac:dyDescent="0.3">
      <c r="B14" s="72" t="s">
        <v>3044</v>
      </c>
      <c r="C14" s="11" t="s">
        <v>3045</v>
      </c>
    </row>
    <row r="15" spans="2:3" ht="151.80000000000001" x14ac:dyDescent="0.3">
      <c r="B15" s="72" t="s">
        <v>3046</v>
      </c>
      <c r="C15" s="11" t="s">
        <v>3047</v>
      </c>
    </row>
    <row r="16" spans="2:3" ht="110.4" x14ac:dyDescent="0.3">
      <c r="B16" s="72" t="s">
        <v>3048</v>
      </c>
      <c r="C16" s="11" t="s">
        <v>3049</v>
      </c>
    </row>
    <row r="18" spans="2:4" x14ac:dyDescent="0.3">
      <c r="B18" s="76" t="s">
        <v>152</v>
      </c>
      <c r="C18" s="76"/>
      <c r="D18" s="76"/>
    </row>
    <row r="19" spans="2:4" x14ac:dyDescent="0.3">
      <c r="B19" s="72" t="s">
        <v>153</v>
      </c>
      <c r="C19" s="72" t="s">
        <v>154</v>
      </c>
      <c r="D19" s="72" t="s">
        <v>155</v>
      </c>
    </row>
    <row r="20" spans="2:4" ht="27.6" x14ac:dyDescent="0.3">
      <c r="B20" s="11" t="s">
        <v>1692</v>
      </c>
      <c r="C20" s="11" t="s">
        <v>3050</v>
      </c>
      <c r="D20" s="11" t="s">
        <v>3051</v>
      </c>
    </row>
    <row r="21" spans="2:4" ht="27.6" x14ac:dyDescent="0.3">
      <c r="B21" s="11" t="s">
        <v>1695</v>
      </c>
      <c r="C21" s="11" t="s">
        <v>3052</v>
      </c>
      <c r="D21" s="11" t="s">
        <v>3053</v>
      </c>
    </row>
    <row r="22" spans="2:4" ht="27.6" x14ac:dyDescent="0.3">
      <c r="B22" s="11" t="s">
        <v>1698</v>
      </c>
      <c r="C22" s="11" t="s">
        <v>3054</v>
      </c>
      <c r="D22" s="11" t="s">
        <v>3055</v>
      </c>
    </row>
    <row r="23" spans="2:4" ht="27.6" x14ac:dyDescent="0.3">
      <c r="B23" s="11" t="s">
        <v>1701</v>
      </c>
      <c r="C23" s="11" t="s">
        <v>3056</v>
      </c>
      <c r="D23" s="11" t="s">
        <v>3057</v>
      </c>
    </row>
    <row r="24" spans="2:4" ht="27.6" x14ac:dyDescent="0.3">
      <c r="B24" s="11" t="s">
        <v>1704</v>
      </c>
      <c r="C24" s="11" t="s">
        <v>3058</v>
      </c>
      <c r="D24" s="11" t="s">
        <v>3059</v>
      </c>
    </row>
    <row r="25" spans="2:4" ht="27.6" x14ac:dyDescent="0.3">
      <c r="B25" s="11" t="s">
        <v>1707</v>
      </c>
      <c r="C25" s="11" t="s">
        <v>3060</v>
      </c>
      <c r="D25" s="11" t="s">
        <v>3061</v>
      </c>
    </row>
    <row r="26" spans="2:4" ht="27.6" x14ac:dyDescent="0.3">
      <c r="B26" s="11" t="s">
        <v>1727</v>
      </c>
      <c r="C26" s="11" t="s">
        <v>3062</v>
      </c>
      <c r="D26" s="11" t="s">
        <v>3063</v>
      </c>
    </row>
    <row r="28" spans="2:4" x14ac:dyDescent="0.3">
      <c r="B28" s="76" t="s">
        <v>164</v>
      </c>
      <c r="C28" s="76"/>
    </row>
    <row r="29" spans="2:4" x14ac:dyDescent="0.3">
      <c r="B29" s="72" t="s">
        <v>165</v>
      </c>
      <c r="C29" s="72" t="s">
        <v>166</v>
      </c>
    </row>
    <row r="30" spans="2:4" ht="55.2" x14ac:dyDescent="0.3">
      <c r="B30" s="72" t="s">
        <v>167</v>
      </c>
      <c r="C30" s="11" t="s">
        <v>3064</v>
      </c>
    </row>
    <row r="31" spans="2:4" ht="69" x14ac:dyDescent="0.3">
      <c r="B31" s="72" t="s">
        <v>169</v>
      </c>
      <c r="C31" s="11" t="s">
        <v>3065</v>
      </c>
    </row>
    <row r="32" spans="2:4" ht="69" x14ac:dyDescent="0.3">
      <c r="B32" s="72" t="s">
        <v>171</v>
      </c>
      <c r="C32" s="11" t="s">
        <v>3066</v>
      </c>
    </row>
    <row r="33" spans="2:3" ht="69" x14ac:dyDescent="0.3">
      <c r="B33" s="72" t="s">
        <v>173</v>
      </c>
      <c r="C33" s="11" t="s">
        <v>3067</v>
      </c>
    </row>
    <row r="34" spans="2:3" ht="55.2" x14ac:dyDescent="0.3">
      <c r="B34" s="72" t="s">
        <v>175</v>
      </c>
      <c r="C34" s="11" t="s">
        <v>3068</v>
      </c>
    </row>
    <row r="35" spans="2:3" ht="55.2" x14ac:dyDescent="0.3">
      <c r="B35" s="72" t="s">
        <v>177</v>
      </c>
      <c r="C35" s="11" t="s">
        <v>3069</v>
      </c>
    </row>
    <row r="36" spans="2:3" ht="82.8" x14ac:dyDescent="0.3">
      <c r="B36" s="72" t="s">
        <v>179</v>
      </c>
      <c r="C36" s="11" t="s">
        <v>3070</v>
      </c>
    </row>
    <row r="37" spans="2:3" ht="69" x14ac:dyDescent="0.3">
      <c r="B37" s="72" t="s">
        <v>181</v>
      </c>
      <c r="C37" s="11" t="s">
        <v>3071</v>
      </c>
    </row>
    <row r="38" spans="2:3" ht="55.2" x14ac:dyDescent="0.3">
      <c r="B38" s="72" t="s">
        <v>183</v>
      </c>
      <c r="C38" s="11" t="s">
        <v>3072</v>
      </c>
    </row>
    <row r="40" spans="2:3" x14ac:dyDescent="0.3">
      <c r="B40" s="58" t="s">
        <v>185</v>
      </c>
    </row>
    <row r="41" spans="2:3" x14ac:dyDescent="0.3">
      <c r="B41" s="76" t="s">
        <v>186</v>
      </c>
      <c r="C41" s="76"/>
    </row>
    <row r="42" spans="2:3" ht="82.8" x14ac:dyDescent="0.3">
      <c r="B42" s="72" t="s">
        <v>3073</v>
      </c>
      <c r="C42" s="11" t="s">
        <v>3074</v>
      </c>
    </row>
    <row r="43" spans="2:3" ht="96.6" x14ac:dyDescent="0.3">
      <c r="B43" s="72" t="s">
        <v>3075</v>
      </c>
      <c r="C43" s="11" t="s">
        <v>3076</v>
      </c>
    </row>
    <row r="44" spans="2:3" ht="69" x14ac:dyDescent="0.3">
      <c r="B44" s="72" t="s">
        <v>3077</v>
      </c>
      <c r="C44" s="11" t="s">
        <v>3078</v>
      </c>
    </row>
    <row r="45" spans="2:3" ht="110.4" x14ac:dyDescent="0.3">
      <c r="B45" s="72" t="s">
        <v>3079</v>
      </c>
      <c r="C45" s="11" t="s">
        <v>3080</v>
      </c>
    </row>
    <row r="46" spans="2:3" ht="124.2" x14ac:dyDescent="0.3">
      <c r="B46" s="72" t="s">
        <v>3081</v>
      </c>
      <c r="C46" s="11" t="s">
        <v>3082</v>
      </c>
    </row>
    <row r="47" spans="2:3" ht="96.6" x14ac:dyDescent="0.3">
      <c r="B47" s="72" t="s">
        <v>3083</v>
      </c>
      <c r="C47" s="11" t="s">
        <v>3084</v>
      </c>
    </row>
    <row r="48" spans="2:3" ht="124.2" x14ac:dyDescent="0.3">
      <c r="B48" s="72" t="s">
        <v>3085</v>
      </c>
      <c r="C48" s="11" t="s">
        <v>3086</v>
      </c>
    </row>
    <row r="50" spans="2:12" x14ac:dyDescent="0.3">
      <c r="B50" s="58" t="s">
        <v>195</v>
      </c>
    </row>
    <row r="51" spans="2:12" x14ac:dyDescent="0.3">
      <c r="B51" s="77" t="s">
        <v>196</v>
      </c>
      <c r="C51" s="77" t="s">
        <v>1692</v>
      </c>
      <c r="D51" s="77" t="s">
        <v>1695</v>
      </c>
      <c r="E51" s="77" t="s">
        <v>1698</v>
      </c>
      <c r="F51" s="77" t="s">
        <v>1701</v>
      </c>
      <c r="G51" s="77" t="s">
        <v>1704</v>
      </c>
      <c r="H51" s="77" t="s">
        <v>1707</v>
      </c>
      <c r="I51" s="77" t="s">
        <v>1727</v>
      </c>
      <c r="J51" s="77" t="s">
        <v>1728</v>
      </c>
      <c r="K51" s="77" t="s">
        <v>1773</v>
      </c>
      <c r="L51" s="77" t="s">
        <v>1774</v>
      </c>
    </row>
    <row r="52" spans="2:12" ht="41.4" x14ac:dyDescent="0.3">
      <c r="B52" s="77" t="s">
        <v>130</v>
      </c>
      <c r="C52" s="78" t="s">
        <v>3087</v>
      </c>
      <c r="D52" s="78" t="s">
        <v>3088</v>
      </c>
      <c r="E52" s="78" t="s">
        <v>3089</v>
      </c>
      <c r="F52" s="78" t="s">
        <v>3090</v>
      </c>
      <c r="G52" s="78" t="s">
        <v>3091</v>
      </c>
      <c r="H52" s="78" t="s">
        <v>3092</v>
      </c>
      <c r="I52" s="78" t="s">
        <v>3093</v>
      </c>
      <c r="J52" s="78" t="s">
        <v>3094</v>
      </c>
      <c r="K52" s="78" t="s">
        <v>3095</v>
      </c>
      <c r="L52" s="78" t="s">
        <v>3096</v>
      </c>
    </row>
    <row r="53" spans="2:12" ht="124.2" x14ac:dyDescent="0.3">
      <c r="B53" s="72" t="s">
        <v>208</v>
      </c>
      <c r="C53" s="11" t="s">
        <v>3097</v>
      </c>
      <c r="D53" s="11" t="s">
        <v>3098</v>
      </c>
      <c r="E53" s="11" t="s">
        <v>3099</v>
      </c>
      <c r="F53" s="11" t="s">
        <v>3100</v>
      </c>
      <c r="G53" s="11" t="s">
        <v>3101</v>
      </c>
      <c r="H53" s="11" t="s">
        <v>3102</v>
      </c>
      <c r="I53" s="11" t="s">
        <v>3103</v>
      </c>
      <c r="J53" s="11" t="s">
        <v>3104</v>
      </c>
      <c r="K53" s="11" t="s">
        <v>3105</v>
      </c>
      <c r="L53" s="11" t="s">
        <v>3106</v>
      </c>
    </row>
    <row r="54" spans="2:12" ht="27.6" x14ac:dyDescent="0.3">
      <c r="B54" s="72" t="s">
        <v>167</v>
      </c>
      <c r="C54" s="11" t="s">
        <v>3107</v>
      </c>
      <c r="D54" s="11" t="s">
        <v>3108</v>
      </c>
      <c r="E54" s="11" t="s">
        <v>3109</v>
      </c>
      <c r="F54" s="11" t="s">
        <v>3110</v>
      </c>
      <c r="G54" s="11" t="s">
        <v>3111</v>
      </c>
      <c r="H54" s="11" t="s">
        <v>3112</v>
      </c>
      <c r="I54" s="11" t="s">
        <v>3113</v>
      </c>
      <c r="J54" s="11" t="s">
        <v>3114</v>
      </c>
      <c r="K54" s="11" t="s">
        <v>3115</v>
      </c>
      <c r="L54" s="11" t="s">
        <v>3116</v>
      </c>
    </row>
    <row r="55" spans="2:12" ht="27.6" x14ac:dyDescent="0.3">
      <c r="B55" s="72" t="s">
        <v>169</v>
      </c>
      <c r="C55" s="11" t="s">
        <v>1471</v>
      </c>
      <c r="D55" s="11" t="s">
        <v>1471</v>
      </c>
      <c r="E55" s="11" t="s">
        <v>278</v>
      </c>
      <c r="F55" s="11" t="s">
        <v>3117</v>
      </c>
      <c r="G55" s="11" t="s">
        <v>1471</v>
      </c>
      <c r="H55" s="11" t="s">
        <v>3118</v>
      </c>
      <c r="I55" s="11" t="s">
        <v>1471</v>
      </c>
      <c r="J55" s="11" t="s">
        <v>3119</v>
      </c>
      <c r="K55" s="11" t="s">
        <v>1471</v>
      </c>
      <c r="L55" s="11" t="s">
        <v>221</v>
      </c>
    </row>
    <row r="56" spans="2:12" ht="27.6" x14ac:dyDescent="0.3">
      <c r="B56" s="72" t="s">
        <v>231</v>
      </c>
      <c r="C56" s="11" t="s">
        <v>232</v>
      </c>
      <c r="D56" s="11" t="s">
        <v>232</v>
      </c>
      <c r="E56" s="11" t="s">
        <v>3120</v>
      </c>
      <c r="F56" s="11" t="s">
        <v>3121</v>
      </c>
      <c r="G56" s="11" t="s">
        <v>232</v>
      </c>
      <c r="H56" s="11" t="s">
        <v>1886</v>
      </c>
      <c r="I56" s="11" t="s">
        <v>232</v>
      </c>
      <c r="J56" s="11" t="s">
        <v>3122</v>
      </c>
      <c r="K56" s="11" t="s">
        <v>232</v>
      </c>
      <c r="L56" s="11" t="s">
        <v>232</v>
      </c>
    </row>
    <row r="57" spans="2:12" ht="27.6" x14ac:dyDescent="0.3">
      <c r="B57" s="72" t="s">
        <v>177</v>
      </c>
      <c r="C57" s="11" t="s">
        <v>3123</v>
      </c>
      <c r="D57" s="11" t="s">
        <v>3124</v>
      </c>
      <c r="E57" s="11" t="s">
        <v>3124</v>
      </c>
      <c r="F57" s="11" t="s">
        <v>3124</v>
      </c>
      <c r="G57" s="11" t="s">
        <v>3125</v>
      </c>
      <c r="H57" s="11" t="s">
        <v>279</v>
      </c>
      <c r="I57" s="11" t="s">
        <v>3126</v>
      </c>
      <c r="J57" s="11" t="s">
        <v>3127</v>
      </c>
      <c r="K57" s="11" t="s">
        <v>3128</v>
      </c>
      <c r="L57" s="11" t="s">
        <v>3129</v>
      </c>
    </row>
    <row r="58" spans="2:12" ht="27.6" x14ac:dyDescent="0.3">
      <c r="B58" s="72" t="s">
        <v>179</v>
      </c>
      <c r="C58" s="11" t="s">
        <v>236</v>
      </c>
      <c r="D58" s="11" t="s">
        <v>236</v>
      </c>
      <c r="E58" s="11" t="s">
        <v>3130</v>
      </c>
      <c r="F58" s="11" t="s">
        <v>3131</v>
      </c>
      <c r="G58" s="11" t="s">
        <v>236</v>
      </c>
      <c r="H58" s="11" t="s">
        <v>236</v>
      </c>
      <c r="I58" s="11" t="s">
        <v>228</v>
      </c>
      <c r="J58" s="11" t="s">
        <v>3132</v>
      </c>
      <c r="K58" s="11" t="s">
        <v>236</v>
      </c>
      <c r="L58" s="11" t="s">
        <v>2019</v>
      </c>
    </row>
    <row r="59" spans="2:12" ht="27.6" x14ac:dyDescent="0.3">
      <c r="B59" s="72" t="s">
        <v>238</v>
      </c>
      <c r="C59" s="11" t="s">
        <v>3133</v>
      </c>
      <c r="D59" s="11" t="s">
        <v>3134</v>
      </c>
      <c r="E59" s="11" t="s">
        <v>3135</v>
      </c>
      <c r="F59" s="11" t="s">
        <v>3136</v>
      </c>
      <c r="G59" s="11" t="s">
        <v>3137</v>
      </c>
      <c r="H59" s="11" t="s">
        <v>225</v>
      </c>
      <c r="I59" s="11" t="s">
        <v>3138</v>
      </c>
      <c r="J59" s="11" t="s">
        <v>421</v>
      </c>
      <c r="K59" s="11" t="s">
        <v>3139</v>
      </c>
      <c r="L59" s="11" t="s">
        <v>3140</v>
      </c>
    </row>
    <row r="60" spans="2:12" x14ac:dyDescent="0.3">
      <c r="B60" s="72" t="s">
        <v>181</v>
      </c>
      <c r="C60" s="11" t="s">
        <v>232</v>
      </c>
      <c r="D60" s="11" t="s">
        <v>232</v>
      </c>
      <c r="E60" s="11" t="s">
        <v>966</v>
      </c>
      <c r="F60" s="11" t="s">
        <v>232</v>
      </c>
      <c r="G60" s="11" t="s">
        <v>232</v>
      </c>
      <c r="H60" s="11" t="s">
        <v>3141</v>
      </c>
      <c r="I60" s="11" t="s">
        <v>232</v>
      </c>
      <c r="J60" s="11" t="s">
        <v>3141</v>
      </c>
      <c r="K60" s="11" t="s">
        <v>450</v>
      </c>
      <c r="L60" s="11" t="s">
        <v>1763</v>
      </c>
    </row>
    <row r="61" spans="2:12" x14ac:dyDescent="0.3">
      <c r="B61" s="72" t="s">
        <v>183</v>
      </c>
      <c r="C61" s="11" t="s">
        <v>232</v>
      </c>
      <c r="D61" s="11" t="s">
        <v>232</v>
      </c>
      <c r="E61" s="11" t="s">
        <v>232</v>
      </c>
      <c r="F61" s="11" t="s">
        <v>232</v>
      </c>
      <c r="G61" s="11" t="s">
        <v>232</v>
      </c>
      <c r="H61" s="11" t="s">
        <v>232</v>
      </c>
      <c r="I61" s="11" t="s">
        <v>232</v>
      </c>
      <c r="J61" s="11" t="s">
        <v>450</v>
      </c>
      <c r="K61" s="11" t="s">
        <v>232</v>
      </c>
      <c r="L61" s="11" t="s">
        <v>450</v>
      </c>
    </row>
    <row r="62" spans="2:12" ht="138" x14ac:dyDescent="0.3">
      <c r="B62" s="72" t="s">
        <v>243</v>
      </c>
      <c r="C62" s="11" t="s">
        <v>3142</v>
      </c>
      <c r="D62" s="11" t="s">
        <v>3143</v>
      </c>
      <c r="E62" s="11" t="s">
        <v>3144</v>
      </c>
      <c r="F62" s="11" t="s">
        <v>3145</v>
      </c>
      <c r="G62" s="11" t="s">
        <v>3146</v>
      </c>
      <c r="H62" s="11" t="s">
        <v>3147</v>
      </c>
      <c r="I62" s="11" t="s">
        <v>3148</v>
      </c>
      <c r="J62" s="11" t="s">
        <v>3149</v>
      </c>
      <c r="K62" s="11" t="s">
        <v>3150</v>
      </c>
      <c r="L62" s="11" t="s">
        <v>3151</v>
      </c>
    </row>
    <row r="64" spans="2:12" ht="27.6" customHeight="1" x14ac:dyDescent="0.3">
      <c r="B64" s="76" t="s">
        <v>254</v>
      </c>
      <c r="C64" s="76"/>
      <c r="D64" s="76"/>
      <c r="E64" s="76"/>
      <c r="F64" s="76"/>
      <c r="G64" s="76"/>
      <c r="H64" s="76"/>
      <c r="I64" s="76"/>
      <c r="J64" s="76"/>
    </row>
    <row r="65" spans="2:10" x14ac:dyDescent="0.3">
      <c r="B65" s="72" t="s">
        <v>255</v>
      </c>
      <c r="C65" s="72" t="s">
        <v>167</v>
      </c>
      <c r="D65" s="72" t="s">
        <v>169</v>
      </c>
      <c r="E65" s="72" t="s">
        <v>171</v>
      </c>
      <c r="F65" s="72" t="s">
        <v>177</v>
      </c>
      <c r="G65" s="72" t="s">
        <v>179</v>
      </c>
      <c r="H65" s="72" t="s">
        <v>175</v>
      </c>
      <c r="I65" s="72" t="s">
        <v>181</v>
      </c>
      <c r="J65" s="72" t="s">
        <v>183</v>
      </c>
    </row>
    <row r="66" spans="2:10" x14ac:dyDescent="0.3">
      <c r="B66" s="11" t="s">
        <v>1692</v>
      </c>
      <c r="C66" s="11" t="s">
        <v>3107</v>
      </c>
      <c r="D66" s="11" t="s">
        <v>1471</v>
      </c>
      <c r="E66" s="11" t="s">
        <v>232</v>
      </c>
      <c r="F66" s="11" t="s">
        <v>224</v>
      </c>
      <c r="G66" s="11" t="s">
        <v>236</v>
      </c>
      <c r="H66" s="11" t="s">
        <v>223</v>
      </c>
      <c r="I66" s="11" t="s">
        <v>232</v>
      </c>
      <c r="J66" s="11" t="s">
        <v>232</v>
      </c>
    </row>
    <row r="67" spans="2:10" x14ac:dyDescent="0.3">
      <c r="B67" s="11" t="s">
        <v>1695</v>
      </c>
      <c r="C67" s="11" t="s">
        <v>3152</v>
      </c>
      <c r="D67" s="11" t="s">
        <v>1471</v>
      </c>
      <c r="E67" s="11" t="s">
        <v>232</v>
      </c>
      <c r="F67" s="11" t="s">
        <v>233</v>
      </c>
      <c r="G67" s="11" t="s">
        <v>236</v>
      </c>
      <c r="H67" s="11" t="s">
        <v>277</v>
      </c>
      <c r="I67" s="11" t="s">
        <v>232</v>
      </c>
      <c r="J67" s="11" t="s">
        <v>232</v>
      </c>
    </row>
    <row r="68" spans="2:10" x14ac:dyDescent="0.3">
      <c r="B68" s="11" t="s">
        <v>1698</v>
      </c>
      <c r="C68" s="11" t="s">
        <v>277</v>
      </c>
      <c r="D68" s="11" t="s">
        <v>278</v>
      </c>
      <c r="E68" s="11" t="s">
        <v>219</v>
      </c>
      <c r="F68" s="11" t="s">
        <v>233</v>
      </c>
      <c r="G68" s="11" t="s">
        <v>233</v>
      </c>
      <c r="H68" s="11" t="s">
        <v>219</v>
      </c>
      <c r="I68" s="11" t="s">
        <v>966</v>
      </c>
      <c r="J68" s="11" t="s">
        <v>232</v>
      </c>
    </row>
    <row r="69" spans="2:10" x14ac:dyDescent="0.3">
      <c r="B69" s="11" t="s">
        <v>1701</v>
      </c>
      <c r="C69" s="11" t="s">
        <v>277</v>
      </c>
      <c r="D69" s="11" t="s">
        <v>221</v>
      </c>
      <c r="E69" s="11" t="s">
        <v>470</v>
      </c>
      <c r="F69" s="11" t="s">
        <v>233</v>
      </c>
      <c r="G69" s="11" t="s">
        <v>3131</v>
      </c>
      <c r="H69" s="11" t="s">
        <v>219</v>
      </c>
      <c r="I69" s="11" t="s">
        <v>232</v>
      </c>
      <c r="J69" s="11" t="s">
        <v>232</v>
      </c>
    </row>
    <row r="70" spans="2:10" x14ac:dyDescent="0.3">
      <c r="B70" s="11" t="s">
        <v>1704</v>
      </c>
      <c r="C70" s="11" t="s">
        <v>3153</v>
      </c>
      <c r="D70" s="11" t="s">
        <v>1471</v>
      </c>
      <c r="E70" s="11" t="s">
        <v>232</v>
      </c>
      <c r="F70" s="11" t="s">
        <v>3125</v>
      </c>
      <c r="G70" s="11" t="s">
        <v>236</v>
      </c>
      <c r="H70" s="11" t="s">
        <v>239</v>
      </c>
      <c r="I70" s="11" t="s">
        <v>232</v>
      </c>
      <c r="J70" s="11" t="s">
        <v>232</v>
      </c>
    </row>
    <row r="71" spans="2:10" x14ac:dyDescent="0.3">
      <c r="B71" s="11" t="s">
        <v>1707</v>
      </c>
      <c r="C71" s="11" t="s">
        <v>258</v>
      </c>
      <c r="D71" s="11" t="s">
        <v>229</v>
      </c>
      <c r="E71" s="11" t="s">
        <v>465</v>
      </c>
      <c r="F71" s="11" t="s">
        <v>583</v>
      </c>
      <c r="G71" s="11" t="s">
        <v>236</v>
      </c>
      <c r="H71" s="11" t="s">
        <v>225</v>
      </c>
      <c r="I71" s="11" t="s">
        <v>450</v>
      </c>
      <c r="J71" s="11" t="s">
        <v>232</v>
      </c>
    </row>
    <row r="72" spans="2:10" x14ac:dyDescent="0.3">
      <c r="B72" s="11" t="s">
        <v>1727</v>
      </c>
      <c r="C72" s="11" t="s">
        <v>219</v>
      </c>
      <c r="D72" s="11" t="s">
        <v>1471</v>
      </c>
      <c r="E72" s="11" t="s">
        <v>232</v>
      </c>
      <c r="F72" s="11" t="s">
        <v>233</v>
      </c>
      <c r="G72" s="11" t="s">
        <v>228</v>
      </c>
      <c r="H72" s="11" t="s">
        <v>239</v>
      </c>
      <c r="I72" s="11" t="s">
        <v>232</v>
      </c>
      <c r="J72" s="11" t="s">
        <v>232</v>
      </c>
    </row>
    <row r="73" spans="2:10" x14ac:dyDescent="0.3">
      <c r="B73" s="11" t="s">
        <v>1728</v>
      </c>
      <c r="C73" s="11" t="s">
        <v>572</v>
      </c>
      <c r="D73" s="11" t="s">
        <v>229</v>
      </c>
      <c r="E73" s="11" t="s">
        <v>470</v>
      </c>
      <c r="F73" s="11" t="s">
        <v>3154</v>
      </c>
      <c r="G73" s="11" t="s">
        <v>421</v>
      </c>
      <c r="H73" s="11" t="s">
        <v>421</v>
      </c>
      <c r="I73" s="11" t="s">
        <v>450</v>
      </c>
      <c r="J73" s="11" t="s">
        <v>450</v>
      </c>
    </row>
    <row r="74" spans="2:10" x14ac:dyDescent="0.3">
      <c r="B74" s="11" t="s">
        <v>1773</v>
      </c>
      <c r="C74" s="11" t="s">
        <v>3155</v>
      </c>
      <c r="D74" s="11" t="s">
        <v>1471</v>
      </c>
      <c r="E74" s="11" t="s">
        <v>232</v>
      </c>
      <c r="F74" s="11" t="s">
        <v>1755</v>
      </c>
      <c r="G74" s="11" t="s">
        <v>236</v>
      </c>
      <c r="H74" s="11" t="s">
        <v>225</v>
      </c>
      <c r="I74" s="11" t="s">
        <v>450</v>
      </c>
      <c r="J74" s="11" t="s">
        <v>232</v>
      </c>
    </row>
    <row r="75" spans="2:10" x14ac:dyDescent="0.3">
      <c r="B75" s="11" t="s">
        <v>1774</v>
      </c>
      <c r="C75" s="11" t="s">
        <v>221</v>
      </c>
      <c r="D75" s="11" t="s">
        <v>221</v>
      </c>
      <c r="E75" s="11" t="s">
        <v>232</v>
      </c>
      <c r="F75" s="11" t="s">
        <v>3129</v>
      </c>
      <c r="G75" s="11" t="s">
        <v>223</v>
      </c>
      <c r="H75" s="11" t="s">
        <v>225</v>
      </c>
      <c r="I75" s="11" t="s">
        <v>1763</v>
      </c>
      <c r="J75" s="11" t="s">
        <v>450</v>
      </c>
    </row>
    <row r="77" spans="2:10" x14ac:dyDescent="0.3">
      <c r="B77" s="58" t="s">
        <v>264</v>
      </c>
    </row>
    <row r="78" spans="2:10" x14ac:dyDescent="0.3">
      <c r="B78" s="77" t="s">
        <v>196</v>
      </c>
      <c r="C78" s="77" t="s">
        <v>1775</v>
      </c>
      <c r="D78" s="77" t="s">
        <v>1776</v>
      </c>
      <c r="E78" s="77" t="s">
        <v>1777</v>
      </c>
      <c r="F78" s="77" t="s">
        <v>1778</v>
      </c>
      <c r="G78" s="77" t="s">
        <v>2809</v>
      </c>
      <c r="H78" s="77" t="s">
        <v>2810</v>
      </c>
    </row>
    <row r="79" spans="2:10" ht="55.2" x14ac:dyDescent="0.3">
      <c r="B79" s="77" t="s">
        <v>130</v>
      </c>
      <c r="C79" s="78" t="s">
        <v>3156</v>
      </c>
      <c r="D79" s="78" t="s">
        <v>3157</v>
      </c>
      <c r="E79" s="78" t="s">
        <v>3158</v>
      </c>
      <c r="F79" s="78" t="s">
        <v>3159</v>
      </c>
      <c r="G79" s="78" t="s">
        <v>3160</v>
      </c>
      <c r="H79" s="78" t="s">
        <v>3161</v>
      </c>
    </row>
    <row r="80" spans="2:10" ht="138" x14ac:dyDescent="0.3">
      <c r="B80" s="72" t="s">
        <v>208</v>
      </c>
      <c r="C80" s="11" t="s">
        <v>3162</v>
      </c>
      <c r="D80" s="11" t="s">
        <v>3163</v>
      </c>
      <c r="E80" s="11" t="s">
        <v>3164</v>
      </c>
      <c r="F80" s="11" t="s">
        <v>3165</v>
      </c>
      <c r="G80" s="11" t="s">
        <v>3166</v>
      </c>
      <c r="H80" s="11" t="s">
        <v>3167</v>
      </c>
    </row>
    <row r="81" spans="2:10" ht="27.6" x14ac:dyDescent="0.3">
      <c r="B81" s="72" t="s">
        <v>167</v>
      </c>
      <c r="C81" s="11" t="s">
        <v>3168</v>
      </c>
      <c r="D81" s="11" t="s">
        <v>3169</v>
      </c>
      <c r="E81" s="11" t="s">
        <v>3170</v>
      </c>
      <c r="F81" s="11" t="s">
        <v>3171</v>
      </c>
      <c r="G81" s="11" t="s">
        <v>277</v>
      </c>
      <c r="H81" s="11" t="s">
        <v>3172</v>
      </c>
    </row>
    <row r="82" spans="2:10" ht="27.6" x14ac:dyDescent="0.3">
      <c r="B82" s="72" t="s">
        <v>169</v>
      </c>
      <c r="C82" s="11" t="s">
        <v>3173</v>
      </c>
      <c r="D82" s="11" t="s">
        <v>3174</v>
      </c>
      <c r="E82" s="11" t="s">
        <v>221</v>
      </c>
      <c r="F82" s="11" t="s">
        <v>3175</v>
      </c>
      <c r="G82" s="11" t="s">
        <v>3176</v>
      </c>
      <c r="H82" s="11" t="s">
        <v>3177</v>
      </c>
    </row>
    <row r="83" spans="2:10" ht="27.6" x14ac:dyDescent="0.3">
      <c r="B83" s="72" t="s">
        <v>231</v>
      </c>
      <c r="C83" s="11" t="s">
        <v>232</v>
      </c>
      <c r="D83" s="11" t="s">
        <v>232</v>
      </c>
      <c r="E83" s="11" t="s">
        <v>232</v>
      </c>
      <c r="F83" s="11" t="s">
        <v>3178</v>
      </c>
      <c r="G83" s="11" t="s">
        <v>232</v>
      </c>
      <c r="H83" s="11" t="s">
        <v>3122</v>
      </c>
    </row>
    <row r="84" spans="2:10" ht="27.6" x14ac:dyDescent="0.3">
      <c r="B84" s="72" t="s">
        <v>177</v>
      </c>
      <c r="C84" s="11" t="s">
        <v>279</v>
      </c>
      <c r="D84" s="11" t="s">
        <v>3179</v>
      </c>
      <c r="E84" s="11" t="s">
        <v>3180</v>
      </c>
      <c r="F84" s="11" t="s">
        <v>3181</v>
      </c>
      <c r="G84" s="11" t="s">
        <v>3182</v>
      </c>
      <c r="H84" s="11" t="s">
        <v>3183</v>
      </c>
    </row>
    <row r="85" spans="2:10" ht="27.6" x14ac:dyDescent="0.3">
      <c r="B85" s="72" t="s">
        <v>179</v>
      </c>
      <c r="C85" s="11" t="s">
        <v>236</v>
      </c>
      <c r="D85" s="11" t="s">
        <v>223</v>
      </c>
      <c r="E85" s="11" t="s">
        <v>3184</v>
      </c>
      <c r="F85" s="11" t="s">
        <v>3185</v>
      </c>
      <c r="G85" s="11" t="s">
        <v>236</v>
      </c>
      <c r="H85" s="11" t="s">
        <v>3186</v>
      </c>
    </row>
    <row r="86" spans="2:10" ht="27.6" x14ac:dyDescent="0.3">
      <c r="B86" s="72" t="s">
        <v>238</v>
      </c>
      <c r="C86" s="11" t="s">
        <v>239</v>
      </c>
      <c r="D86" s="11" t="s">
        <v>3187</v>
      </c>
      <c r="E86" s="11" t="s">
        <v>225</v>
      </c>
      <c r="F86" s="11" t="s">
        <v>239</v>
      </c>
      <c r="G86" s="11" t="s">
        <v>3188</v>
      </c>
      <c r="H86" s="11" t="s">
        <v>421</v>
      </c>
    </row>
    <row r="87" spans="2:10" x14ac:dyDescent="0.3">
      <c r="B87" s="72" t="s">
        <v>181</v>
      </c>
      <c r="C87" s="11" t="s">
        <v>450</v>
      </c>
      <c r="D87" s="11" t="s">
        <v>1763</v>
      </c>
      <c r="E87" s="11" t="s">
        <v>1763</v>
      </c>
      <c r="F87" s="11" t="s">
        <v>1763</v>
      </c>
      <c r="G87" s="11" t="s">
        <v>232</v>
      </c>
      <c r="H87" s="11" t="s">
        <v>450</v>
      </c>
    </row>
    <row r="88" spans="2:10" x14ac:dyDescent="0.3">
      <c r="B88" s="72" t="s">
        <v>183</v>
      </c>
      <c r="C88" s="11" t="s">
        <v>232</v>
      </c>
      <c r="D88" s="11" t="s">
        <v>232</v>
      </c>
      <c r="E88" s="11" t="s">
        <v>232</v>
      </c>
      <c r="F88" s="11" t="s">
        <v>450</v>
      </c>
      <c r="G88" s="11" t="s">
        <v>232</v>
      </c>
      <c r="H88" s="11" t="s">
        <v>1763</v>
      </c>
    </row>
    <row r="89" spans="2:10" ht="151.80000000000001" x14ac:dyDescent="0.3">
      <c r="B89" s="72" t="s">
        <v>243</v>
      </c>
      <c r="C89" s="11" t="s">
        <v>3189</v>
      </c>
      <c r="D89" s="11" t="s">
        <v>3190</v>
      </c>
      <c r="E89" s="11" t="s">
        <v>3191</v>
      </c>
      <c r="F89" s="11" t="s">
        <v>3192</v>
      </c>
      <c r="G89" s="11" t="s">
        <v>3193</v>
      </c>
      <c r="H89" s="11" t="s">
        <v>3194</v>
      </c>
    </row>
    <row r="91" spans="2:10" ht="27.6" customHeight="1" x14ac:dyDescent="0.3">
      <c r="B91" s="76" t="s">
        <v>287</v>
      </c>
      <c r="C91" s="76"/>
      <c r="D91" s="76"/>
      <c r="E91" s="76"/>
      <c r="F91" s="76"/>
      <c r="G91" s="76"/>
      <c r="H91" s="76"/>
      <c r="I91" s="76"/>
      <c r="J91" s="76"/>
    </row>
    <row r="92" spans="2:10" x14ac:dyDescent="0.3">
      <c r="B92" s="72" t="s">
        <v>255</v>
      </c>
      <c r="C92" s="72" t="s">
        <v>167</v>
      </c>
      <c r="D92" s="72" t="s">
        <v>169</v>
      </c>
      <c r="E92" s="72" t="s">
        <v>171</v>
      </c>
      <c r="F92" s="72" t="s">
        <v>177</v>
      </c>
      <c r="G92" s="72" t="s">
        <v>179</v>
      </c>
      <c r="H92" s="72" t="s">
        <v>175</v>
      </c>
      <c r="I92" s="72" t="s">
        <v>181</v>
      </c>
      <c r="J92" s="72" t="s">
        <v>183</v>
      </c>
    </row>
    <row r="93" spans="2:10" x14ac:dyDescent="0.3">
      <c r="B93" s="11" t="s">
        <v>1775</v>
      </c>
      <c r="C93" s="11" t="s">
        <v>221</v>
      </c>
      <c r="D93" s="11" t="s">
        <v>229</v>
      </c>
      <c r="E93" s="11" t="s">
        <v>232</v>
      </c>
      <c r="F93" s="11" t="s">
        <v>583</v>
      </c>
      <c r="G93" s="11" t="s">
        <v>236</v>
      </c>
      <c r="H93" s="11" t="s">
        <v>239</v>
      </c>
      <c r="I93" s="11" t="s">
        <v>450</v>
      </c>
      <c r="J93" s="11" t="s">
        <v>232</v>
      </c>
    </row>
    <row r="94" spans="2:10" x14ac:dyDescent="0.3">
      <c r="B94" s="11" t="s">
        <v>1776</v>
      </c>
      <c r="C94" s="11" t="s">
        <v>277</v>
      </c>
      <c r="D94" s="11" t="s">
        <v>229</v>
      </c>
      <c r="E94" s="11" t="s">
        <v>232</v>
      </c>
      <c r="F94" s="11" t="s">
        <v>583</v>
      </c>
      <c r="G94" s="11" t="s">
        <v>223</v>
      </c>
      <c r="H94" s="11" t="s">
        <v>225</v>
      </c>
      <c r="I94" s="11" t="s">
        <v>1763</v>
      </c>
      <c r="J94" s="11" t="s">
        <v>232</v>
      </c>
    </row>
    <row r="95" spans="2:10" x14ac:dyDescent="0.3">
      <c r="B95" s="11" t="s">
        <v>1777</v>
      </c>
      <c r="C95" s="11" t="s">
        <v>221</v>
      </c>
      <c r="D95" s="11" t="s">
        <v>221</v>
      </c>
      <c r="E95" s="11" t="s">
        <v>232</v>
      </c>
      <c r="F95" s="11" t="s">
        <v>233</v>
      </c>
      <c r="G95" s="11" t="s">
        <v>225</v>
      </c>
      <c r="H95" s="11" t="s">
        <v>225</v>
      </c>
      <c r="I95" s="11" t="s">
        <v>1763</v>
      </c>
      <c r="J95" s="11" t="s">
        <v>232</v>
      </c>
    </row>
    <row r="96" spans="2:10" x14ac:dyDescent="0.3">
      <c r="B96" s="11" t="s">
        <v>1778</v>
      </c>
      <c r="C96" s="11" t="s">
        <v>223</v>
      </c>
      <c r="D96" s="11" t="s">
        <v>955</v>
      </c>
      <c r="E96" s="11" t="s">
        <v>450</v>
      </c>
      <c r="F96" s="11" t="s">
        <v>583</v>
      </c>
      <c r="G96" s="11" t="s">
        <v>3185</v>
      </c>
      <c r="H96" s="11" t="s">
        <v>239</v>
      </c>
      <c r="I96" s="11" t="s">
        <v>1763</v>
      </c>
      <c r="J96" s="11" t="s">
        <v>450</v>
      </c>
    </row>
    <row r="97" spans="2:11" x14ac:dyDescent="0.3">
      <c r="B97" s="11" t="s">
        <v>2809</v>
      </c>
      <c r="C97" s="11" t="s">
        <v>277</v>
      </c>
      <c r="D97" s="11" t="s">
        <v>278</v>
      </c>
      <c r="E97" s="11" t="s">
        <v>232</v>
      </c>
      <c r="F97" s="11" t="s">
        <v>3182</v>
      </c>
      <c r="G97" s="11" t="s">
        <v>236</v>
      </c>
      <c r="H97" s="11" t="s">
        <v>225</v>
      </c>
      <c r="I97" s="11" t="s">
        <v>232</v>
      </c>
      <c r="J97" s="11" t="s">
        <v>232</v>
      </c>
    </row>
    <row r="98" spans="2:11" x14ac:dyDescent="0.3">
      <c r="B98" s="11" t="s">
        <v>2810</v>
      </c>
      <c r="C98" s="11" t="s">
        <v>223</v>
      </c>
      <c r="D98" s="11" t="s">
        <v>229</v>
      </c>
      <c r="E98" s="11" t="s">
        <v>470</v>
      </c>
      <c r="F98" s="11" t="s">
        <v>3154</v>
      </c>
      <c r="G98" s="11" t="s">
        <v>421</v>
      </c>
      <c r="H98" s="11" t="s">
        <v>421</v>
      </c>
      <c r="I98" s="11" t="s">
        <v>450</v>
      </c>
      <c r="J98" s="11" t="s">
        <v>1763</v>
      </c>
    </row>
    <row r="100" spans="2:11" x14ac:dyDescent="0.3">
      <c r="B100" s="75" t="s">
        <v>288</v>
      </c>
      <c r="C100" s="75"/>
      <c r="D100" s="75"/>
      <c r="E100" s="75"/>
      <c r="F100" s="75"/>
      <c r="G100" s="75"/>
      <c r="H100" s="75"/>
      <c r="I100" s="75"/>
      <c r="J100" s="75"/>
    </row>
    <row r="101" spans="2:11" x14ac:dyDescent="0.3">
      <c r="B101" s="72" t="s">
        <v>289</v>
      </c>
      <c r="C101" s="72" t="s">
        <v>167</v>
      </c>
      <c r="D101" s="72" t="s">
        <v>169</v>
      </c>
      <c r="E101" s="72" t="s">
        <v>171</v>
      </c>
      <c r="F101" s="72" t="s">
        <v>177</v>
      </c>
      <c r="G101" s="72" t="s">
        <v>179</v>
      </c>
      <c r="H101" s="72" t="s">
        <v>175</v>
      </c>
      <c r="I101" s="72" t="s">
        <v>181</v>
      </c>
      <c r="J101" s="72" t="s">
        <v>183</v>
      </c>
    </row>
    <row r="102" spans="2:11" ht="27.6" x14ac:dyDescent="0.3">
      <c r="B102" s="11" t="s">
        <v>1692</v>
      </c>
      <c r="C102" s="11" t="s">
        <v>3195</v>
      </c>
      <c r="D102" s="11" t="s">
        <v>3196</v>
      </c>
      <c r="E102" s="11" t="s">
        <v>3197</v>
      </c>
      <c r="F102" s="11" t="s">
        <v>3198</v>
      </c>
      <c r="G102" s="11" t="s">
        <v>3199</v>
      </c>
      <c r="H102" s="11" t="s">
        <v>3200</v>
      </c>
      <c r="I102" s="11" t="s">
        <v>3201</v>
      </c>
      <c r="J102" s="11" t="s">
        <v>1927</v>
      </c>
      <c r="K102" s="12"/>
    </row>
    <row r="103" spans="2:11" ht="27.6" x14ac:dyDescent="0.3">
      <c r="B103" s="11" t="s">
        <v>1695</v>
      </c>
      <c r="C103" s="11" t="s">
        <v>3202</v>
      </c>
      <c r="D103" s="11" t="s">
        <v>3203</v>
      </c>
      <c r="E103" s="11" t="s">
        <v>3204</v>
      </c>
      <c r="F103" s="11" t="s">
        <v>3205</v>
      </c>
      <c r="G103" s="11" t="s">
        <v>2864</v>
      </c>
      <c r="H103" s="11" t="s">
        <v>3206</v>
      </c>
      <c r="I103" s="11" t="s">
        <v>3207</v>
      </c>
      <c r="J103" s="11" t="s">
        <v>1762</v>
      </c>
      <c r="K103" s="12"/>
    </row>
    <row r="104" spans="2:11" ht="27.6" x14ac:dyDescent="0.3">
      <c r="B104" s="11" t="s">
        <v>1698</v>
      </c>
      <c r="C104" s="11" t="s">
        <v>3208</v>
      </c>
      <c r="D104" s="11" t="s">
        <v>3209</v>
      </c>
      <c r="E104" s="11" t="s">
        <v>842</v>
      </c>
      <c r="F104" s="11" t="s">
        <v>842</v>
      </c>
      <c r="G104" s="11" t="s">
        <v>3210</v>
      </c>
      <c r="H104" s="11" t="s">
        <v>3211</v>
      </c>
      <c r="I104" s="11" t="s">
        <v>3212</v>
      </c>
      <c r="J104" s="11" t="s">
        <v>3213</v>
      </c>
      <c r="K104" s="12"/>
    </row>
    <row r="105" spans="2:11" ht="27.6" x14ac:dyDescent="0.3">
      <c r="B105" s="11" t="s">
        <v>1701</v>
      </c>
      <c r="C105" s="11" t="s">
        <v>3214</v>
      </c>
      <c r="D105" s="11" t="s">
        <v>3215</v>
      </c>
      <c r="E105" s="11" t="s">
        <v>3216</v>
      </c>
      <c r="F105" s="11" t="s">
        <v>3178</v>
      </c>
      <c r="G105" s="11" t="s">
        <v>583</v>
      </c>
      <c r="H105" s="11" t="s">
        <v>3217</v>
      </c>
      <c r="I105" s="11" t="s">
        <v>239</v>
      </c>
      <c r="J105" s="11" t="s">
        <v>3218</v>
      </c>
      <c r="K105" s="12"/>
    </row>
    <row r="107" spans="2:11" x14ac:dyDescent="0.3">
      <c r="B107" s="76" t="s">
        <v>306</v>
      </c>
      <c r="C107" s="76"/>
      <c r="D107" s="76"/>
      <c r="E107" s="76"/>
      <c r="F107" s="76"/>
      <c r="G107" s="76"/>
      <c r="H107" s="76"/>
    </row>
    <row r="108" spans="2:11" x14ac:dyDescent="0.3">
      <c r="B108" s="72" t="s">
        <v>255</v>
      </c>
      <c r="C108" s="72" t="s">
        <v>167</v>
      </c>
      <c r="D108" s="72" t="s">
        <v>307</v>
      </c>
      <c r="E108" s="72" t="s">
        <v>308</v>
      </c>
      <c r="F108" s="72" t="s">
        <v>309</v>
      </c>
      <c r="G108" s="72" t="s">
        <v>181</v>
      </c>
      <c r="H108" s="72" t="s">
        <v>310</v>
      </c>
    </row>
    <row r="109" spans="2:11" x14ac:dyDescent="0.3">
      <c r="B109" s="11">
        <v>1</v>
      </c>
      <c r="C109" s="11">
        <v>5</v>
      </c>
      <c r="D109" s="11">
        <v>4</v>
      </c>
      <c r="E109" s="11">
        <v>5</v>
      </c>
      <c r="F109" s="11">
        <v>5</v>
      </c>
      <c r="G109" s="11">
        <v>4</v>
      </c>
      <c r="H109" s="80">
        <f t="shared" ref="H109:H114" si="0">AVERAGE(C109:G109)</f>
        <v>4.5999999999999996</v>
      </c>
    </row>
    <row r="110" spans="2:11" x14ac:dyDescent="0.3">
      <c r="B110" s="11">
        <v>2</v>
      </c>
      <c r="C110" s="11">
        <v>4</v>
      </c>
      <c r="D110" s="11">
        <v>5</v>
      </c>
      <c r="E110" s="11">
        <v>3</v>
      </c>
      <c r="F110" s="11">
        <v>2</v>
      </c>
      <c r="G110" s="11">
        <v>5</v>
      </c>
      <c r="H110" s="80">
        <f t="shared" si="0"/>
        <v>3.8</v>
      </c>
    </row>
    <row r="111" spans="2:11" x14ac:dyDescent="0.3">
      <c r="B111" s="11">
        <v>3</v>
      </c>
      <c r="C111" s="11">
        <v>3</v>
      </c>
      <c r="D111" s="11">
        <v>5</v>
      </c>
      <c r="E111" s="11">
        <v>4</v>
      </c>
      <c r="F111" s="11">
        <v>3</v>
      </c>
      <c r="G111" s="11">
        <v>4</v>
      </c>
      <c r="H111" s="80">
        <f t="shared" si="0"/>
        <v>3.8</v>
      </c>
    </row>
    <row r="112" spans="2:11" x14ac:dyDescent="0.3">
      <c r="B112" s="11">
        <v>4</v>
      </c>
      <c r="C112" s="11">
        <v>4</v>
      </c>
      <c r="D112" s="11">
        <v>4</v>
      </c>
      <c r="E112" s="11">
        <v>4</v>
      </c>
      <c r="F112" s="11">
        <v>4</v>
      </c>
      <c r="G112" s="11">
        <v>5</v>
      </c>
      <c r="H112" s="80">
        <f t="shared" si="0"/>
        <v>4.2</v>
      </c>
    </row>
    <row r="113" spans="2:8" x14ac:dyDescent="0.3">
      <c r="B113" s="11">
        <v>5</v>
      </c>
      <c r="C113" s="11">
        <v>2</v>
      </c>
      <c r="D113" s="11">
        <v>5</v>
      </c>
      <c r="E113" s="11">
        <v>3</v>
      </c>
      <c r="F113" s="11">
        <v>2</v>
      </c>
      <c r="G113" s="11">
        <v>5</v>
      </c>
      <c r="H113" s="80">
        <f t="shared" si="0"/>
        <v>3.4</v>
      </c>
    </row>
    <row r="114" spans="2:8" x14ac:dyDescent="0.3">
      <c r="B114" s="11">
        <v>6</v>
      </c>
      <c r="C114" s="11">
        <v>2</v>
      </c>
      <c r="D114" s="11">
        <v>5</v>
      </c>
      <c r="E114" s="11">
        <v>3</v>
      </c>
      <c r="F114" s="11">
        <v>1</v>
      </c>
      <c r="G114" s="11">
        <v>5</v>
      </c>
      <c r="H114" s="80">
        <f t="shared" si="0"/>
        <v>3.2</v>
      </c>
    </row>
  </sheetData>
  <mergeCells count="9">
    <mergeCell ref="B91:J91"/>
    <mergeCell ref="B100:J100"/>
    <mergeCell ref="B107:H107"/>
    <mergeCell ref="B1:C1"/>
    <mergeCell ref="B10:C10"/>
    <mergeCell ref="B18:D18"/>
    <mergeCell ref="B28:C28"/>
    <mergeCell ref="B41:C41"/>
    <mergeCell ref="B64:J6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E8AAD-E109-4683-8805-75F35B9536E1}">
  <dimension ref="B1:L114"/>
  <sheetViews>
    <sheetView zoomScale="66" workbookViewId="0">
      <selection activeCell="C112" sqref="C112"/>
    </sheetView>
  </sheetViews>
  <sheetFormatPr defaultColWidth="8.5546875" defaultRowHeight="14.4" x14ac:dyDescent="0.3"/>
  <cols>
    <col min="1" max="1" width="4" customWidth="1"/>
    <col min="2" max="2" width="34" customWidth="1"/>
    <col min="3" max="3" width="52" customWidth="1"/>
    <col min="4" max="21" width="24" customWidth="1"/>
  </cols>
  <sheetData>
    <row r="1" spans="2:3" x14ac:dyDescent="0.3">
      <c r="B1" s="76" t="s">
        <v>130</v>
      </c>
      <c r="C1" s="76"/>
    </row>
    <row r="2" spans="2:3" x14ac:dyDescent="0.3">
      <c r="B2" s="72" t="s">
        <v>131</v>
      </c>
      <c r="C2" s="11" t="s">
        <v>3034</v>
      </c>
    </row>
    <row r="3" spans="2:3" ht="55.2" x14ac:dyDescent="0.3">
      <c r="B3" s="72" t="s">
        <v>132</v>
      </c>
      <c r="C3" s="11" t="s">
        <v>3219</v>
      </c>
    </row>
    <row r="4" spans="2:3" ht="27.6" x14ac:dyDescent="0.3">
      <c r="B4" s="72" t="s">
        <v>134</v>
      </c>
      <c r="C4" s="11" t="s">
        <v>3027</v>
      </c>
    </row>
    <row r="5" spans="2:3" ht="165.6" x14ac:dyDescent="0.3">
      <c r="B5" s="72" t="s">
        <v>136</v>
      </c>
      <c r="C5" s="11" t="s">
        <v>3220</v>
      </c>
    </row>
    <row r="6" spans="2:3" x14ac:dyDescent="0.3">
      <c r="B6" s="72" t="s">
        <v>138</v>
      </c>
      <c r="C6" s="11" t="s">
        <v>3395</v>
      </c>
    </row>
    <row r="7" spans="2:3" ht="220.8" x14ac:dyDescent="0.3">
      <c r="B7" s="72" t="s">
        <v>140</v>
      </c>
      <c r="C7" s="11" t="s">
        <v>3221</v>
      </c>
    </row>
    <row r="9" spans="2:3" x14ac:dyDescent="0.3">
      <c r="B9" s="58" t="s">
        <v>142</v>
      </c>
    </row>
    <row r="10" spans="2:3" x14ac:dyDescent="0.3">
      <c r="B10" s="76" t="s">
        <v>143</v>
      </c>
      <c r="C10" s="76"/>
    </row>
    <row r="11" spans="2:3" ht="110.4" x14ac:dyDescent="0.3">
      <c r="B11" s="72" t="s">
        <v>3222</v>
      </c>
      <c r="C11" s="11" t="s">
        <v>3223</v>
      </c>
    </row>
    <row r="12" spans="2:3" ht="138" x14ac:dyDescent="0.3">
      <c r="B12" s="72" t="s">
        <v>3224</v>
      </c>
      <c r="C12" s="11" t="s">
        <v>3225</v>
      </c>
    </row>
    <row r="13" spans="2:3" ht="124.2" x14ac:dyDescent="0.3">
      <c r="B13" s="72" t="s">
        <v>3226</v>
      </c>
      <c r="C13" s="11" t="s">
        <v>3227</v>
      </c>
    </row>
    <row r="14" spans="2:3" ht="138" x14ac:dyDescent="0.3">
      <c r="B14" s="72" t="s">
        <v>3228</v>
      </c>
      <c r="C14" s="11" t="s">
        <v>3229</v>
      </c>
    </row>
    <row r="15" spans="2:3" ht="151.80000000000001" x14ac:dyDescent="0.3">
      <c r="B15" s="72" t="s">
        <v>3230</v>
      </c>
      <c r="C15" s="11" t="s">
        <v>3231</v>
      </c>
    </row>
    <row r="16" spans="2:3" ht="138" x14ac:dyDescent="0.3">
      <c r="B16" s="72" t="s">
        <v>3232</v>
      </c>
      <c r="C16" s="11" t="s">
        <v>3233</v>
      </c>
    </row>
    <row r="18" spans="2:4" x14ac:dyDescent="0.3">
      <c r="B18" s="76" t="s">
        <v>152</v>
      </c>
      <c r="C18" s="76"/>
      <c r="D18" s="76"/>
    </row>
    <row r="19" spans="2:4" x14ac:dyDescent="0.3">
      <c r="B19" s="72" t="s">
        <v>153</v>
      </c>
      <c r="C19" s="72" t="s">
        <v>154</v>
      </c>
      <c r="D19" s="72" t="s">
        <v>155</v>
      </c>
    </row>
    <row r="20" spans="2:4" ht="27.6" x14ac:dyDescent="0.3">
      <c r="B20" s="11" t="s">
        <v>1692</v>
      </c>
      <c r="C20" s="11" t="s">
        <v>3234</v>
      </c>
      <c r="D20" s="11" t="s">
        <v>3235</v>
      </c>
    </row>
    <row r="21" spans="2:4" ht="27.6" x14ac:dyDescent="0.3">
      <c r="B21" s="11" t="s">
        <v>1695</v>
      </c>
      <c r="C21" s="11" t="s">
        <v>3236</v>
      </c>
      <c r="D21" s="11" t="s">
        <v>3237</v>
      </c>
    </row>
    <row r="22" spans="2:4" ht="27.6" x14ac:dyDescent="0.3">
      <c r="B22" s="11" t="s">
        <v>1698</v>
      </c>
      <c r="C22" s="11" t="s">
        <v>3238</v>
      </c>
      <c r="D22" s="11" t="s">
        <v>3239</v>
      </c>
    </row>
    <row r="23" spans="2:4" ht="27.6" x14ac:dyDescent="0.3">
      <c r="B23" s="11" t="s">
        <v>1701</v>
      </c>
      <c r="C23" s="11" t="s">
        <v>3240</v>
      </c>
      <c r="D23" s="11" t="s">
        <v>3241</v>
      </c>
    </row>
    <row r="24" spans="2:4" ht="27.6" x14ac:dyDescent="0.3">
      <c r="B24" s="11" t="s">
        <v>1704</v>
      </c>
      <c r="C24" s="11" t="s">
        <v>3242</v>
      </c>
      <c r="D24" s="11" t="s">
        <v>3243</v>
      </c>
    </row>
    <row r="25" spans="2:4" ht="41.4" x14ac:dyDescent="0.3">
      <c r="B25" s="11" t="s">
        <v>1707</v>
      </c>
      <c r="C25" s="11" t="s">
        <v>3244</v>
      </c>
      <c r="D25" s="11" t="s">
        <v>3245</v>
      </c>
    </row>
    <row r="26" spans="2:4" ht="41.4" x14ac:dyDescent="0.3">
      <c r="B26" s="11" t="s">
        <v>1727</v>
      </c>
      <c r="C26" s="11" t="s">
        <v>3246</v>
      </c>
      <c r="D26" s="11" t="s">
        <v>3247</v>
      </c>
    </row>
    <row r="28" spans="2:4" x14ac:dyDescent="0.3">
      <c r="B28" s="76" t="s">
        <v>164</v>
      </c>
      <c r="C28" s="76"/>
    </row>
    <row r="29" spans="2:4" x14ac:dyDescent="0.3">
      <c r="B29" s="72" t="s">
        <v>165</v>
      </c>
      <c r="C29" s="72" t="s">
        <v>166</v>
      </c>
    </row>
    <row r="30" spans="2:4" ht="82.8" x14ac:dyDescent="0.3">
      <c r="B30" s="72" t="s">
        <v>167</v>
      </c>
      <c r="C30" s="11" t="s">
        <v>3248</v>
      </c>
    </row>
    <row r="31" spans="2:4" ht="69" x14ac:dyDescent="0.3">
      <c r="B31" s="72" t="s">
        <v>169</v>
      </c>
      <c r="C31" s="11" t="s">
        <v>3249</v>
      </c>
    </row>
    <row r="32" spans="2:4" ht="69" x14ac:dyDescent="0.3">
      <c r="B32" s="72" t="s">
        <v>171</v>
      </c>
      <c r="C32" s="11" t="s">
        <v>3250</v>
      </c>
    </row>
    <row r="33" spans="2:3" ht="82.8" x14ac:dyDescent="0.3">
      <c r="B33" s="72" t="s">
        <v>173</v>
      </c>
      <c r="C33" s="11" t="s">
        <v>3251</v>
      </c>
    </row>
    <row r="34" spans="2:3" ht="82.8" x14ac:dyDescent="0.3">
      <c r="B34" s="72" t="s">
        <v>175</v>
      </c>
      <c r="C34" s="11" t="s">
        <v>3252</v>
      </c>
    </row>
    <row r="35" spans="2:3" ht="69" x14ac:dyDescent="0.3">
      <c r="B35" s="72" t="s">
        <v>177</v>
      </c>
      <c r="C35" s="11" t="s">
        <v>3253</v>
      </c>
    </row>
    <row r="36" spans="2:3" ht="69" x14ac:dyDescent="0.3">
      <c r="B36" s="72" t="s">
        <v>179</v>
      </c>
      <c r="C36" s="11" t="s">
        <v>3254</v>
      </c>
    </row>
    <row r="37" spans="2:3" ht="69" x14ac:dyDescent="0.3">
      <c r="B37" s="72" t="s">
        <v>181</v>
      </c>
      <c r="C37" s="11" t="s">
        <v>3255</v>
      </c>
    </row>
    <row r="38" spans="2:3" x14ac:dyDescent="0.3">
      <c r="B38" s="72" t="s">
        <v>183</v>
      </c>
      <c r="C38" s="11" t="s">
        <v>3256</v>
      </c>
    </row>
    <row r="40" spans="2:3" x14ac:dyDescent="0.3">
      <c r="B40" s="58" t="s">
        <v>185</v>
      </c>
    </row>
    <row r="41" spans="2:3" x14ac:dyDescent="0.3">
      <c r="B41" s="76" t="s">
        <v>186</v>
      </c>
      <c r="C41" s="76"/>
    </row>
    <row r="42" spans="2:3" ht="138" x14ac:dyDescent="0.3">
      <c r="B42" s="84" t="s">
        <v>3257</v>
      </c>
      <c r="C42" s="86" t="s">
        <v>3258</v>
      </c>
    </row>
    <row r="43" spans="2:3" ht="96.6" x14ac:dyDescent="0.3">
      <c r="B43" s="84" t="s">
        <v>3259</v>
      </c>
      <c r="C43" s="86" t="s">
        <v>3260</v>
      </c>
    </row>
    <row r="44" spans="2:3" ht="96.6" x14ac:dyDescent="0.3">
      <c r="B44" s="84" t="s">
        <v>3261</v>
      </c>
      <c r="C44" s="86" t="s">
        <v>3262</v>
      </c>
    </row>
    <row r="45" spans="2:3" ht="138" x14ac:dyDescent="0.3">
      <c r="B45" s="84" t="s">
        <v>3263</v>
      </c>
      <c r="C45" s="86" t="s">
        <v>3264</v>
      </c>
    </row>
    <row r="46" spans="2:3" ht="96.6" x14ac:dyDescent="0.3">
      <c r="B46" s="84" t="s">
        <v>3265</v>
      </c>
      <c r="C46" s="86" t="s">
        <v>3266</v>
      </c>
    </row>
    <row r="47" spans="2:3" ht="110.4" x14ac:dyDescent="0.3">
      <c r="B47" s="84" t="s">
        <v>758</v>
      </c>
      <c r="C47" s="86" t="s">
        <v>3267</v>
      </c>
    </row>
    <row r="48" spans="2:3" ht="124.2" x14ac:dyDescent="0.3">
      <c r="B48" s="84" t="s">
        <v>3268</v>
      </c>
      <c r="C48" s="86" t="s">
        <v>3269</v>
      </c>
    </row>
    <row r="50" spans="2:12" x14ac:dyDescent="0.3">
      <c r="B50" s="58" t="s">
        <v>195</v>
      </c>
    </row>
    <row r="51" spans="2:12" x14ac:dyDescent="0.3">
      <c r="B51" s="77" t="s">
        <v>196</v>
      </c>
      <c r="C51" s="77" t="s">
        <v>1692</v>
      </c>
      <c r="D51" s="77" t="s">
        <v>1695</v>
      </c>
      <c r="E51" s="77" t="s">
        <v>1698</v>
      </c>
      <c r="F51" s="77" t="s">
        <v>1701</v>
      </c>
      <c r="G51" s="77" t="s">
        <v>1704</v>
      </c>
      <c r="H51" s="77" t="s">
        <v>1707</v>
      </c>
      <c r="I51" s="77" t="s">
        <v>1727</v>
      </c>
      <c r="J51" s="77" t="s">
        <v>1728</v>
      </c>
      <c r="K51" s="77" t="s">
        <v>1773</v>
      </c>
      <c r="L51" s="77" t="s">
        <v>1774</v>
      </c>
    </row>
    <row r="52" spans="2:12" ht="41.4" x14ac:dyDescent="0.3">
      <c r="B52" s="77" t="s">
        <v>130</v>
      </c>
      <c r="C52" s="78" t="s">
        <v>3270</v>
      </c>
      <c r="D52" s="78" t="s">
        <v>3271</v>
      </c>
      <c r="E52" s="78" t="s">
        <v>3272</v>
      </c>
      <c r="F52" s="78" t="s">
        <v>3273</v>
      </c>
      <c r="G52" s="78" t="s">
        <v>3274</v>
      </c>
      <c r="H52" s="78" t="s">
        <v>3275</v>
      </c>
      <c r="I52" s="78" t="s">
        <v>3276</v>
      </c>
      <c r="J52" s="78" t="s">
        <v>3277</v>
      </c>
      <c r="K52" s="78" t="s">
        <v>3278</v>
      </c>
      <c r="L52" s="78" t="s">
        <v>3279</v>
      </c>
    </row>
    <row r="53" spans="2:12" ht="124.2" x14ac:dyDescent="0.3">
      <c r="B53" s="72" t="s">
        <v>208</v>
      </c>
      <c r="C53" s="11" t="s">
        <v>3280</v>
      </c>
      <c r="D53" s="11" t="s">
        <v>3281</v>
      </c>
      <c r="E53" s="11" t="s">
        <v>3282</v>
      </c>
      <c r="F53" s="11" t="s">
        <v>3283</v>
      </c>
      <c r="G53" s="11" t="s">
        <v>3284</v>
      </c>
      <c r="H53" s="11" t="s">
        <v>3285</v>
      </c>
      <c r="I53" s="11" t="s">
        <v>3286</v>
      </c>
      <c r="J53" s="11" t="s">
        <v>3287</v>
      </c>
      <c r="K53" s="11" t="s">
        <v>3288</v>
      </c>
      <c r="L53" s="11" t="s">
        <v>3289</v>
      </c>
    </row>
    <row r="54" spans="2:12" ht="27.6" x14ac:dyDescent="0.3">
      <c r="B54" s="72" t="s">
        <v>167</v>
      </c>
      <c r="C54" s="11" t="s">
        <v>3290</v>
      </c>
      <c r="D54" s="11" t="s">
        <v>3291</v>
      </c>
      <c r="E54" s="11" t="s">
        <v>3292</v>
      </c>
      <c r="F54" s="11" t="s">
        <v>3293</v>
      </c>
      <c r="G54" s="11" t="s">
        <v>3294</v>
      </c>
      <c r="H54" s="11" t="s">
        <v>3295</v>
      </c>
      <c r="I54" s="11" t="s">
        <v>3296</v>
      </c>
      <c r="J54" s="11" t="s">
        <v>3297</v>
      </c>
      <c r="K54" s="11" t="s">
        <v>3298</v>
      </c>
      <c r="L54" s="11" t="s">
        <v>3299</v>
      </c>
    </row>
    <row r="55" spans="2:12" ht="27.6" x14ac:dyDescent="0.3">
      <c r="B55" s="72" t="s">
        <v>169</v>
      </c>
      <c r="C55" s="11" t="s">
        <v>1471</v>
      </c>
      <c r="D55" s="11" t="s">
        <v>1471</v>
      </c>
      <c r="E55" s="11" t="s">
        <v>3300</v>
      </c>
      <c r="F55" s="11" t="s">
        <v>3301</v>
      </c>
      <c r="G55" s="11" t="s">
        <v>3302</v>
      </c>
      <c r="H55" s="11" t="s">
        <v>3303</v>
      </c>
      <c r="I55" s="11" t="s">
        <v>3304</v>
      </c>
      <c r="J55" s="11" t="s">
        <v>3305</v>
      </c>
      <c r="K55" s="11" t="s">
        <v>3306</v>
      </c>
      <c r="L55" s="11" t="s">
        <v>3307</v>
      </c>
    </row>
    <row r="56" spans="2:12" x14ac:dyDescent="0.3">
      <c r="B56" s="72" t="s">
        <v>231</v>
      </c>
      <c r="C56" s="11" t="s">
        <v>3308</v>
      </c>
      <c r="D56" s="11" t="s">
        <v>232</v>
      </c>
      <c r="E56" s="11" t="s">
        <v>232</v>
      </c>
      <c r="F56" s="11" t="s">
        <v>232</v>
      </c>
      <c r="G56" s="11" t="s">
        <v>232</v>
      </c>
      <c r="H56" s="11" t="s">
        <v>232</v>
      </c>
      <c r="I56" s="11" t="s">
        <v>232</v>
      </c>
      <c r="J56" s="11" t="s">
        <v>232</v>
      </c>
      <c r="K56" s="11" t="s">
        <v>232</v>
      </c>
      <c r="L56" s="11" t="s">
        <v>232</v>
      </c>
    </row>
    <row r="57" spans="2:12" ht="27.6" x14ac:dyDescent="0.3">
      <c r="B57" s="72" t="s">
        <v>177</v>
      </c>
      <c r="C57" s="11" t="s">
        <v>2864</v>
      </c>
      <c r="D57" s="11" t="s">
        <v>3309</v>
      </c>
      <c r="E57" s="11" t="s">
        <v>3310</v>
      </c>
      <c r="F57" s="11" t="s">
        <v>2958</v>
      </c>
      <c r="G57" s="11" t="s">
        <v>279</v>
      </c>
      <c r="H57" s="11" t="s">
        <v>3311</v>
      </c>
      <c r="I57" s="11" t="s">
        <v>279</v>
      </c>
      <c r="J57" s="11" t="s">
        <v>3312</v>
      </c>
      <c r="K57" s="11" t="s">
        <v>1888</v>
      </c>
      <c r="L57" s="11" t="s">
        <v>3313</v>
      </c>
    </row>
    <row r="58" spans="2:12" x14ac:dyDescent="0.3">
      <c r="B58" s="72" t="s">
        <v>179</v>
      </c>
      <c r="C58" s="11" t="s">
        <v>3314</v>
      </c>
      <c r="D58" s="11" t="s">
        <v>236</v>
      </c>
      <c r="E58" s="11" t="s">
        <v>228</v>
      </c>
      <c r="F58" s="11" t="s">
        <v>228</v>
      </c>
      <c r="G58" s="11" t="s">
        <v>225</v>
      </c>
      <c r="H58" s="11" t="s">
        <v>228</v>
      </c>
      <c r="I58" s="11" t="s">
        <v>225</v>
      </c>
      <c r="J58" s="11" t="s">
        <v>3315</v>
      </c>
      <c r="K58" s="11" t="s">
        <v>1119</v>
      </c>
      <c r="L58" s="11" t="s">
        <v>228</v>
      </c>
    </row>
    <row r="59" spans="2:12" ht="27.6" x14ac:dyDescent="0.3">
      <c r="B59" s="72" t="s">
        <v>238</v>
      </c>
      <c r="C59" s="11" t="s">
        <v>3316</v>
      </c>
      <c r="D59" s="11" t="s">
        <v>3317</v>
      </c>
      <c r="E59" s="11" t="s">
        <v>3318</v>
      </c>
      <c r="F59" s="11" t="s">
        <v>1761</v>
      </c>
      <c r="G59" s="11" t="s">
        <v>3319</v>
      </c>
      <c r="H59" s="11" t="s">
        <v>3320</v>
      </c>
      <c r="I59" s="11" t="s">
        <v>225</v>
      </c>
      <c r="J59" s="11" t="s">
        <v>3321</v>
      </c>
      <c r="K59" s="11" t="s">
        <v>1761</v>
      </c>
      <c r="L59" s="11" t="s">
        <v>3322</v>
      </c>
    </row>
    <row r="60" spans="2:12" x14ac:dyDescent="0.3">
      <c r="B60" s="72" t="s">
        <v>181</v>
      </c>
      <c r="C60" s="11" t="s">
        <v>1762</v>
      </c>
      <c r="D60" s="11" t="s">
        <v>232</v>
      </c>
      <c r="E60" s="11" t="s">
        <v>232</v>
      </c>
      <c r="F60" s="11" t="s">
        <v>232</v>
      </c>
      <c r="G60" s="11" t="s">
        <v>232</v>
      </c>
      <c r="H60" s="11" t="s">
        <v>232</v>
      </c>
      <c r="I60" s="11" t="s">
        <v>232</v>
      </c>
      <c r="J60" s="11" t="s">
        <v>966</v>
      </c>
      <c r="K60" s="11" t="s">
        <v>232</v>
      </c>
      <c r="L60" s="11" t="s">
        <v>232</v>
      </c>
    </row>
    <row r="61" spans="2:12" x14ac:dyDescent="0.3">
      <c r="B61" s="72" t="s">
        <v>183</v>
      </c>
      <c r="C61" s="11" t="s">
        <v>228</v>
      </c>
      <c r="D61" s="11" t="s">
        <v>228</v>
      </c>
      <c r="E61" s="11" t="s">
        <v>228</v>
      </c>
      <c r="F61" s="11" t="s">
        <v>228</v>
      </c>
      <c r="G61" s="11" t="s">
        <v>228</v>
      </c>
      <c r="H61" s="11" t="s">
        <v>228</v>
      </c>
      <c r="I61" s="11" t="s">
        <v>228</v>
      </c>
      <c r="J61" s="11" t="s">
        <v>232</v>
      </c>
      <c r="K61" s="11" t="s">
        <v>228</v>
      </c>
      <c r="L61" s="11" t="s">
        <v>228</v>
      </c>
    </row>
    <row r="62" spans="2:12" ht="165.6" x14ac:dyDescent="0.3">
      <c r="B62" s="72" t="s">
        <v>243</v>
      </c>
      <c r="C62" s="11" t="s">
        <v>3323</v>
      </c>
      <c r="D62" s="11" t="s">
        <v>3324</v>
      </c>
      <c r="E62" s="11" t="s">
        <v>3325</v>
      </c>
      <c r="F62" s="11" t="s">
        <v>3326</v>
      </c>
      <c r="G62" s="11" t="s">
        <v>3327</v>
      </c>
      <c r="H62" s="11" t="s">
        <v>3328</v>
      </c>
      <c r="I62" s="11" t="s">
        <v>3329</v>
      </c>
      <c r="J62" s="11" t="s">
        <v>3330</v>
      </c>
      <c r="K62" s="11" t="s">
        <v>3331</v>
      </c>
      <c r="L62" s="11" t="s">
        <v>3332</v>
      </c>
    </row>
    <row r="64" spans="2:12" ht="27.6" customHeight="1" x14ac:dyDescent="0.3">
      <c r="B64" s="76" t="s">
        <v>254</v>
      </c>
      <c r="C64" s="76"/>
      <c r="D64" s="76"/>
      <c r="E64" s="76"/>
      <c r="F64" s="76"/>
      <c r="G64" s="76"/>
      <c r="H64" s="76"/>
      <c r="I64" s="76"/>
      <c r="J64" s="76"/>
    </row>
    <row r="65" spans="2:10" x14ac:dyDescent="0.3">
      <c r="B65" s="72" t="s">
        <v>255</v>
      </c>
      <c r="C65" s="72" t="s">
        <v>167</v>
      </c>
      <c r="D65" s="72" t="s">
        <v>169</v>
      </c>
      <c r="E65" s="72" t="s">
        <v>171</v>
      </c>
      <c r="F65" s="72" t="s">
        <v>177</v>
      </c>
      <c r="G65" s="72" t="s">
        <v>179</v>
      </c>
      <c r="H65" s="72" t="s">
        <v>175</v>
      </c>
      <c r="I65" s="72" t="s">
        <v>181</v>
      </c>
      <c r="J65" s="72" t="s">
        <v>183</v>
      </c>
    </row>
    <row r="66" spans="2:10" x14ac:dyDescent="0.3">
      <c r="B66" s="11" t="s">
        <v>1692</v>
      </c>
      <c r="C66" s="11" t="s">
        <v>3333</v>
      </c>
      <c r="D66" s="11" t="s">
        <v>1471</v>
      </c>
      <c r="E66" s="11" t="s">
        <v>858</v>
      </c>
      <c r="F66" s="11" t="s">
        <v>297</v>
      </c>
      <c r="G66" s="11" t="s">
        <v>858</v>
      </c>
      <c r="H66" s="11" t="s">
        <v>240</v>
      </c>
      <c r="I66" s="11" t="s">
        <v>1762</v>
      </c>
      <c r="J66" s="11" t="s">
        <v>228</v>
      </c>
    </row>
    <row r="67" spans="2:10" x14ac:dyDescent="0.3">
      <c r="B67" s="11" t="s">
        <v>1695</v>
      </c>
      <c r="C67" s="11" t="s">
        <v>219</v>
      </c>
      <c r="D67" s="11" t="s">
        <v>1471</v>
      </c>
      <c r="E67" s="11" t="s">
        <v>232</v>
      </c>
      <c r="F67" s="11" t="s">
        <v>3334</v>
      </c>
      <c r="G67" s="11" t="s">
        <v>236</v>
      </c>
      <c r="H67" s="11" t="s">
        <v>3317</v>
      </c>
      <c r="I67" s="11" t="s">
        <v>232</v>
      </c>
      <c r="J67" s="11" t="s">
        <v>228</v>
      </c>
    </row>
    <row r="68" spans="2:10" x14ac:dyDescent="0.3">
      <c r="B68" s="11" t="s">
        <v>1698</v>
      </c>
      <c r="C68" s="11" t="s">
        <v>219</v>
      </c>
      <c r="D68" s="11" t="s">
        <v>3335</v>
      </c>
      <c r="E68" s="11" t="s">
        <v>232</v>
      </c>
      <c r="F68" s="11" t="s">
        <v>2245</v>
      </c>
      <c r="G68" s="11" t="s">
        <v>228</v>
      </c>
      <c r="H68" s="11" t="s">
        <v>2783</v>
      </c>
      <c r="I68" s="11" t="s">
        <v>232</v>
      </c>
      <c r="J68" s="11" t="s">
        <v>228</v>
      </c>
    </row>
    <row r="69" spans="2:10" x14ac:dyDescent="0.3">
      <c r="B69" s="11" t="s">
        <v>1701</v>
      </c>
      <c r="C69" s="11" t="s">
        <v>3293</v>
      </c>
      <c r="D69" s="11" t="s">
        <v>3336</v>
      </c>
      <c r="E69" s="11" t="s">
        <v>232</v>
      </c>
      <c r="F69" s="11" t="s">
        <v>2958</v>
      </c>
      <c r="G69" s="11" t="s">
        <v>228</v>
      </c>
      <c r="H69" s="11" t="s">
        <v>3337</v>
      </c>
      <c r="I69" s="11" t="s">
        <v>232</v>
      </c>
      <c r="J69" s="11" t="s">
        <v>228</v>
      </c>
    </row>
    <row r="70" spans="2:10" x14ac:dyDescent="0.3">
      <c r="B70" s="11" t="s">
        <v>1704</v>
      </c>
      <c r="C70" s="11" t="s">
        <v>3338</v>
      </c>
      <c r="D70" s="11" t="s">
        <v>221</v>
      </c>
      <c r="E70" s="11" t="s">
        <v>232</v>
      </c>
      <c r="F70" s="11" t="s">
        <v>583</v>
      </c>
      <c r="G70" s="11" t="s">
        <v>225</v>
      </c>
      <c r="H70" s="11" t="s">
        <v>3339</v>
      </c>
      <c r="I70" s="11" t="s">
        <v>232</v>
      </c>
      <c r="J70" s="11" t="s">
        <v>228</v>
      </c>
    </row>
    <row r="71" spans="2:10" x14ac:dyDescent="0.3">
      <c r="B71" s="11" t="s">
        <v>1707</v>
      </c>
      <c r="C71" s="11" t="s">
        <v>3340</v>
      </c>
      <c r="D71" s="11" t="s">
        <v>230</v>
      </c>
      <c r="E71" s="11" t="s">
        <v>232</v>
      </c>
      <c r="F71" s="11" t="s">
        <v>2043</v>
      </c>
      <c r="G71" s="11" t="s">
        <v>228</v>
      </c>
      <c r="H71" s="11" t="s">
        <v>3337</v>
      </c>
      <c r="I71" s="11" t="s">
        <v>232</v>
      </c>
      <c r="J71" s="11" t="s">
        <v>228</v>
      </c>
    </row>
    <row r="72" spans="2:10" x14ac:dyDescent="0.3">
      <c r="B72" s="11" t="s">
        <v>1727</v>
      </c>
      <c r="C72" s="11" t="s">
        <v>277</v>
      </c>
      <c r="D72" s="11" t="s">
        <v>278</v>
      </c>
      <c r="E72" s="11" t="s">
        <v>232</v>
      </c>
      <c r="F72" s="11" t="s">
        <v>583</v>
      </c>
      <c r="G72" s="11" t="s">
        <v>225</v>
      </c>
      <c r="H72" s="11" t="s">
        <v>225</v>
      </c>
      <c r="I72" s="11" t="s">
        <v>232</v>
      </c>
      <c r="J72" s="11" t="s">
        <v>228</v>
      </c>
    </row>
    <row r="73" spans="2:10" x14ac:dyDescent="0.3">
      <c r="B73" s="11" t="s">
        <v>1728</v>
      </c>
      <c r="C73" s="11" t="s">
        <v>3341</v>
      </c>
      <c r="D73" s="11" t="s">
        <v>3305</v>
      </c>
      <c r="E73" s="11" t="s">
        <v>232</v>
      </c>
      <c r="F73" s="11" t="s">
        <v>3342</v>
      </c>
      <c r="G73" s="11" t="s">
        <v>236</v>
      </c>
      <c r="H73" s="11" t="s">
        <v>3321</v>
      </c>
      <c r="I73" s="11" t="s">
        <v>966</v>
      </c>
      <c r="J73" s="11" t="s">
        <v>232</v>
      </c>
    </row>
    <row r="74" spans="2:10" x14ac:dyDescent="0.3">
      <c r="B74" s="11" t="s">
        <v>1773</v>
      </c>
      <c r="C74" s="11" t="s">
        <v>221</v>
      </c>
      <c r="D74" s="11" t="s">
        <v>296</v>
      </c>
      <c r="E74" s="11" t="s">
        <v>232</v>
      </c>
      <c r="F74" s="11" t="s">
        <v>2245</v>
      </c>
      <c r="G74" s="11" t="s">
        <v>1119</v>
      </c>
      <c r="H74" s="11" t="s">
        <v>3337</v>
      </c>
      <c r="I74" s="11" t="s">
        <v>232</v>
      </c>
      <c r="J74" s="11" t="s">
        <v>228</v>
      </c>
    </row>
    <row r="75" spans="2:10" x14ac:dyDescent="0.3">
      <c r="B75" s="11" t="s">
        <v>1774</v>
      </c>
      <c r="C75" s="11" t="s">
        <v>3299</v>
      </c>
      <c r="D75" s="11" t="s">
        <v>3343</v>
      </c>
      <c r="E75" s="11" t="s">
        <v>232</v>
      </c>
      <c r="F75" s="11" t="s">
        <v>3344</v>
      </c>
      <c r="G75" s="11" t="s">
        <v>228</v>
      </c>
      <c r="H75" s="11" t="s">
        <v>3337</v>
      </c>
      <c r="I75" s="11" t="s">
        <v>232</v>
      </c>
      <c r="J75" s="11" t="s">
        <v>228</v>
      </c>
    </row>
    <row r="77" spans="2:10" x14ac:dyDescent="0.3">
      <c r="B77" s="58" t="s">
        <v>264</v>
      </c>
    </row>
    <row r="78" spans="2:10" x14ac:dyDescent="0.3">
      <c r="B78" s="77" t="s">
        <v>196</v>
      </c>
      <c r="C78" s="77" t="s">
        <v>1775</v>
      </c>
      <c r="D78" s="77" t="s">
        <v>1776</v>
      </c>
      <c r="E78" s="77" t="s">
        <v>1777</v>
      </c>
      <c r="F78" s="77" t="s">
        <v>1778</v>
      </c>
      <c r="G78" s="77" t="s">
        <v>2809</v>
      </c>
      <c r="H78" s="77" t="s">
        <v>2810</v>
      </c>
    </row>
    <row r="79" spans="2:10" ht="69" x14ac:dyDescent="0.3">
      <c r="B79" s="77" t="s">
        <v>130</v>
      </c>
      <c r="C79" s="78" t="s">
        <v>3345</v>
      </c>
      <c r="D79" s="78" t="s">
        <v>3346</v>
      </c>
      <c r="E79" s="78" t="s">
        <v>3347</v>
      </c>
      <c r="F79" s="78" t="s">
        <v>3348</v>
      </c>
      <c r="G79" s="78" t="s">
        <v>3349</v>
      </c>
      <c r="H79" s="78" t="s">
        <v>3350</v>
      </c>
    </row>
    <row r="80" spans="2:10" ht="151.80000000000001" x14ac:dyDescent="0.3">
      <c r="B80" s="72" t="s">
        <v>208</v>
      </c>
      <c r="C80" s="11" t="s">
        <v>3351</v>
      </c>
      <c r="D80" s="11" t="s">
        <v>3352</v>
      </c>
      <c r="E80" s="11" t="s">
        <v>3353</v>
      </c>
      <c r="F80" s="11" t="s">
        <v>3354</v>
      </c>
      <c r="G80" s="11" t="s">
        <v>3355</v>
      </c>
      <c r="H80" s="11" t="s">
        <v>3356</v>
      </c>
    </row>
    <row r="81" spans="2:10" ht="27.6" x14ac:dyDescent="0.3">
      <c r="B81" s="72" t="s">
        <v>167</v>
      </c>
      <c r="C81" s="11" t="s">
        <v>3357</v>
      </c>
      <c r="D81" s="11" t="s">
        <v>3358</v>
      </c>
      <c r="E81" s="11" t="s">
        <v>3359</v>
      </c>
      <c r="F81" s="11" t="s">
        <v>3360</v>
      </c>
      <c r="G81" s="11" t="s">
        <v>3361</v>
      </c>
      <c r="H81" s="11" t="s">
        <v>3362</v>
      </c>
    </row>
    <row r="82" spans="2:10" x14ac:dyDescent="0.3">
      <c r="B82" s="72" t="s">
        <v>169</v>
      </c>
      <c r="C82" s="11" t="s">
        <v>2770</v>
      </c>
      <c r="D82" s="11" t="s">
        <v>221</v>
      </c>
      <c r="E82" s="11" t="s">
        <v>278</v>
      </c>
      <c r="F82" s="11" t="s">
        <v>278</v>
      </c>
      <c r="G82" s="11" t="s">
        <v>3363</v>
      </c>
      <c r="H82" s="11" t="s">
        <v>3364</v>
      </c>
    </row>
    <row r="83" spans="2:10" x14ac:dyDescent="0.3">
      <c r="B83" s="72" t="s">
        <v>231</v>
      </c>
      <c r="C83" s="11" t="s">
        <v>232</v>
      </c>
      <c r="D83" s="11" t="s">
        <v>232</v>
      </c>
      <c r="E83" s="11" t="s">
        <v>232</v>
      </c>
      <c r="F83" s="11" t="s">
        <v>232</v>
      </c>
      <c r="G83" s="11" t="s">
        <v>232</v>
      </c>
      <c r="H83" s="11" t="s">
        <v>232</v>
      </c>
    </row>
    <row r="84" spans="2:10" x14ac:dyDescent="0.3">
      <c r="B84" s="72" t="s">
        <v>177</v>
      </c>
      <c r="C84" s="11" t="s">
        <v>279</v>
      </c>
      <c r="D84" s="11" t="s">
        <v>279</v>
      </c>
      <c r="E84" s="11" t="s">
        <v>279</v>
      </c>
      <c r="F84" s="11" t="s">
        <v>279</v>
      </c>
      <c r="G84" s="11" t="s">
        <v>2839</v>
      </c>
      <c r="H84" s="11" t="s">
        <v>279</v>
      </c>
    </row>
    <row r="85" spans="2:10" x14ac:dyDescent="0.3">
      <c r="B85" s="72" t="s">
        <v>179</v>
      </c>
      <c r="C85" s="11" t="s">
        <v>225</v>
      </c>
      <c r="D85" s="11" t="s">
        <v>225</v>
      </c>
      <c r="E85" s="11" t="s">
        <v>449</v>
      </c>
      <c r="F85" s="11" t="s">
        <v>449</v>
      </c>
      <c r="G85" s="11" t="s">
        <v>449</v>
      </c>
      <c r="H85" s="11" t="s">
        <v>225</v>
      </c>
    </row>
    <row r="86" spans="2:10" x14ac:dyDescent="0.3">
      <c r="B86" s="72" t="s">
        <v>238</v>
      </c>
      <c r="C86" s="11" t="s">
        <v>449</v>
      </c>
      <c r="D86" s="11" t="s">
        <v>239</v>
      </c>
      <c r="E86" s="11" t="s">
        <v>225</v>
      </c>
      <c r="F86" s="11" t="s">
        <v>449</v>
      </c>
      <c r="G86" s="11" t="s">
        <v>225</v>
      </c>
      <c r="H86" s="11" t="s">
        <v>239</v>
      </c>
    </row>
    <row r="87" spans="2:10" x14ac:dyDescent="0.3">
      <c r="B87" s="72" t="s">
        <v>181</v>
      </c>
      <c r="C87" s="11" t="s">
        <v>232</v>
      </c>
      <c r="D87" s="11" t="s">
        <v>232</v>
      </c>
      <c r="E87" s="11" t="s">
        <v>232</v>
      </c>
      <c r="F87" s="11" t="s">
        <v>450</v>
      </c>
      <c r="G87" s="11" t="s">
        <v>450</v>
      </c>
      <c r="H87" s="11" t="s">
        <v>232</v>
      </c>
    </row>
    <row r="88" spans="2:10" x14ac:dyDescent="0.3">
      <c r="B88" s="72" t="s">
        <v>183</v>
      </c>
      <c r="C88" s="11" t="s">
        <v>228</v>
      </c>
      <c r="D88" s="11" t="s">
        <v>228</v>
      </c>
      <c r="E88" s="11" t="s">
        <v>232</v>
      </c>
      <c r="F88" s="11" t="s">
        <v>228</v>
      </c>
      <c r="G88" s="11" t="s">
        <v>232</v>
      </c>
      <c r="H88" s="11" t="s">
        <v>232</v>
      </c>
    </row>
    <row r="89" spans="2:10" ht="179.4" x14ac:dyDescent="0.3">
      <c r="B89" s="72" t="s">
        <v>243</v>
      </c>
      <c r="C89" s="11" t="s">
        <v>3365</v>
      </c>
      <c r="D89" s="11" t="s">
        <v>3366</v>
      </c>
      <c r="E89" s="11" t="s">
        <v>3367</v>
      </c>
      <c r="F89" s="11" t="s">
        <v>3368</v>
      </c>
      <c r="G89" s="11" t="s">
        <v>3369</v>
      </c>
      <c r="H89" s="11" t="s">
        <v>3370</v>
      </c>
    </row>
    <row r="91" spans="2:10" ht="27.6" customHeight="1" x14ac:dyDescent="0.3">
      <c r="B91" s="76" t="s">
        <v>287</v>
      </c>
      <c r="C91" s="76"/>
      <c r="D91" s="76"/>
      <c r="E91" s="76"/>
      <c r="F91" s="76"/>
      <c r="G91" s="76"/>
      <c r="H91" s="76"/>
      <c r="I91" s="76"/>
      <c r="J91" s="76"/>
    </row>
    <row r="92" spans="2:10" x14ac:dyDescent="0.3">
      <c r="B92" s="72" t="s">
        <v>255</v>
      </c>
      <c r="C92" s="72" t="s">
        <v>167</v>
      </c>
      <c r="D92" s="72" t="s">
        <v>169</v>
      </c>
      <c r="E92" s="72" t="s">
        <v>171</v>
      </c>
      <c r="F92" s="72" t="s">
        <v>177</v>
      </c>
      <c r="G92" s="72" t="s">
        <v>179</v>
      </c>
      <c r="H92" s="72" t="s">
        <v>175</v>
      </c>
      <c r="I92" s="72" t="s">
        <v>181</v>
      </c>
      <c r="J92" s="72" t="s">
        <v>183</v>
      </c>
    </row>
    <row r="93" spans="2:10" x14ac:dyDescent="0.3">
      <c r="B93" s="11" t="s">
        <v>1775</v>
      </c>
      <c r="C93" s="11" t="s">
        <v>219</v>
      </c>
      <c r="D93" s="11" t="s">
        <v>221</v>
      </c>
      <c r="E93" s="11" t="s">
        <v>232</v>
      </c>
      <c r="F93" s="11" t="s">
        <v>583</v>
      </c>
      <c r="G93" s="11" t="s">
        <v>225</v>
      </c>
      <c r="H93" s="11" t="s">
        <v>2234</v>
      </c>
      <c r="I93" s="11" t="s">
        <v>232</v>
      </c>
      <c r="J93" s="11" t="s">
        <v>228</v>
      </c>
    </row>
    <row r="94" spans="2:10" x14ac:dyDescent="0.3">
      <c r="B94" s="11" t="s">
        <v>1776</v>
      </c>
      <c r="C94" s="11" t="s">
        <v>221</v>
      </c>
      <c r="D94" s="11" t="s">
        <v>221</v>
      </c>
      <c r="E94" s="11" t="s">
        <v>232</v>
      </c>
      <c r="F94" s="11" t="s">
        <v>583</v>
      </c>
      <c r="G94" s="11" t="s">
        <v>225</v>
      </c>
      <c r="H94" s="11" t="s">
        <v>239</v>
      </c>
      <c r="I94" s="11" t="s">
        <v>232</v>
      </c>
      <c r="J94" s="11" t="s">
        <v>228</v>
      </c>
    </row>
    <row r="95" spans="2:10" x14ac:dyDescent="0.3">
      <c r="B95" s="11" t="s">
        <v>1777</v>
      </c>
      <c r="C95" s="11" t="s">
        <v>219</v>
      </c>
      <c r="D95" s="11" t="s">
        <v>278</v>
      </c>
      <c r="E95" s="11" t="s">
        <v>232</v>
      </c>
      <c r="F95" s="11" t="s">
        <v>583</v>
      </c>
      <c r="G95" s="11" t="s">
        <v>2234</v>
      </c>
      <c r="H95" s="11" t="s">
        <v>225</v>
      </c>
      <c r="I95" s="11" t="s">
        <v>232</v>
      </c>
      <c r="J95" s="11" t="s">
        <v>232</v>
      </c>
    </row>
    <row r="96" spans="2:10" x14ac:dyDescent="0.3">
      <c r="B96" s="11" t="s">
        <v>1778</v>
      </c>
      <c r="C96" s="11" t="s">
        <v>219</v>
      </c>
      <c r="D96" s="11" t="s">
        <v>278</v>
      </c>
      <c r="E96" s="11" t="s">
        <v>232</v>
      </c>
      <c r="F96" s="11" t="s">
        <v>583</v>
      </c>
      <c r="G96" s="11" t="s">
        <v>2234</v>
      </c>
      <c r="H96" s="11" t="s">
        <v>2234</v>
      </c>
      <c r="I96" s="11" t="s">
        <v>450</v>
      </c>
      <c r="J96" s="11" t="s">
        <v>228</v>
      </c>
    </row>
    <row r="97" spans="2:11" x14ac:dyDescent="0.3">
      <c r="B97" s="11" t="s">
        <v>2809</v>
      </c>
      <c r="C97" s="11" t="s">
        <v>223</v>
      </c>
      <c r="D97" s="11" t="s">
        <v>229</v>
      </c>
      <c r="E97" s="11" t="s">
        <v>232</v>
      </c>
      <c r="F97" s="11" t="s">
        <v>583</v>
      </c>
      <c r="G97" s="11" t="s">
        <v>2234</v>
      </c>
      <c r="H97" s="11" t="s">
        <v>225</v>
      </c>
      <c r="I97" s="11" t="s">
        <v>450</v>
      </c>
      <c r="J97" s="11" t="s">
        <v>232</v>
      </c>
    </row>
    <row r="98" spans="2:11" x14ac:dyDescent="0.3">
      <c r="B98" s="11" t="s">
        <v>2810</v>
      </c>
      <c r="C98" s="11" t="s">
        <v>223</v>
      </c>
      <c r="D98" s="11" t="s">
        <v>229</v>
      </c>
      <c r="E98" s="11" t="s">
        <v>232</v>
      </c>
      <c r="F98" s="11" t="s">
        <v>583</v>
      </c>
      <c r="G98" s="11" t="s">
        <v>225</v>
      </c>
      <c r="H98" s="11" t="s">
        <v>239</v>
      </c>
      <c r="I98" s="11" t="s">
        <v>232</v>
      </c>
      <c r="J98" s="11" t="s">
        <v>232</v>
      </c>
    </row>
    <row r="100" spans="2:11" x14ac:dyDescent="0.3">
      <c r="B100" s="76" t="s">
        <v>288</v>
      </c>
      <c r="C100" s="76"/>
      <c r="D100" s="76"/>
      <c r="E100" s="76"/>
      <c r="F100" s="76"/>
      <c r="G100" s="76"/>
      <c r="H100" s="76"/>
      <c r="I100" s="76"/>
      <c r="J100" s="76"/>
    </row>
    <row r="101" spans="2:11" x14ac:dyDescent="0.3">
      <c r="B101" s="72" t="s">
        <v>289</v>
      </c>
      <c r="C101" s="72" t="s">
        <v>167</v>
      </c>
      <c r="D101" s="72" t="s">
        <v>169</v>
      </c>
      <c r="E101" s="72" t="s">
        <v>171</v>
      </c>
      <c r="F101" s="72" t="s">
        <v>177</v>
      </c>
      <c r="G101" s="72" t="s">
        <v>179</v>
      </c>
      <c r="H101" s="72" t="s">
        <v>175</v>
      </c>
      <c r="I101" s="72" t="s">
        <v>181</v>
      </c>
      <c r="J101" s="72" t="s">
        <v>183</v>
      </c>
    </row>
    <row r="102" spans="2:11" ht="27.6" x14ac:dyDescent="0.3">
      <c r="B102" s="11" t="s">
        <v>1692</v>
      </c>
      <c r="C102" s="11" t="s">
        <v>3371</v>
      </c>
      <c r="D102" s="11" t="s">
        <v>3372</v>
      </c>
      <c r="E102" s="11" t="s">
        <v>3373</v>
      </c>
      <c r="F102" s="11" t="s">
        <v>3374</v>
      </c>
      <c r="G102" s="11" t="s">
        <v>3375</v>
      </c>
      <c r="H102" s="11" t="s">
        <v>3376</v>
      </c>
      <c r="I102" s="11" t="s">
        <v>3377</v>
      </c>
      <c r="J102" s="11" t="s">
        <v>3378</v>
      </c>
      <c r="K102" s="12"/>
    </row>
    <row r="103" spans="2:11" ht="27.6" x14ac:dyDescent="0.3">
      <c r="B103" s="11" t="s">
        <v>1695</v>
      </c>
      <c r="C103" s="11" t="s">
        <v>3379</v>
      </c>
      <c r="D103" s="11" t="s">
        <v>3380</v>
      </c>
      <c r="E103" s="11" t="s">
        <v>3381</v>
      </c>
      <c r="F103" s="11" t="s">
        <v>3308</v>
      </c>
      <c r="G103" s="11" t="s">
        <v>3382</v>
      </c>
      <c r="H103" s="11" t="s">
        <v>858</v>
      </c>
      <c r="I103" s="11" t="s">
        <v>3316</v>
      </c>
      <c r="J103" s="11" t="s">
        <v>3383</v>
      </c>
      <c r="K103" s="12"/>
    </row>
    <row r="104" spans="2:11" ht="27.6" x14ac:dyDescent="0.3">
      <c r="B104" s="11" t="s">
        <v>1698</v>
      </c>
      <c r="C104" s="11" t="s">
        <v>3384</v>
      </c>
      <c r="D104" s="11" t="s">
        <v>3385</v>
      </c>
      <c r="E104" s="11" t="s">
        <v>3386</v>
      </c>
      <c r="F104" s="11" t="s">
        <v>3387</v>
      </c>
      <c r="G104" s="11" t="s">
        <v>2616</v>
      </c>
      <c r="H104" s="11" t="s">
        <v>228</v>
      </c>
      <c r="I104" s="11" t="s">
        <v>3388</v>
      </c>
      <c r="J104" s="11" t="s">
        <v>3389</v>
      </c>
      <c r="K104" s="12"/>
    </row>
    <row r="105" spans="2:11" x14ac:dyDescent="0.3">
      <c r="B105" s="11" t="s">
        <v>1701</v>
      </c>
      <c r="C105" s="11" t="s">
        <v>3390</v>
      </c>
      <c r="D105" s="11" t="s">
        <v>3391</v>
      </c>
      <c r="E105" s="11" t="s">
        <v>3392</v>
      </c>
      <c r="F105" s="11" t="s">
        <v>3393</v>
      </c>
      <c r="G105" s="11" t="s">
        <v>583</v>
      </c>
      <c r="H105" s="11" t="s">
        <v>449</v>
      </c>
      <c r="I105" s="11" t="s">
        <v>3394</v>
      </c>
      <c r="J105" s="11" t="s">
        <v>450</v>
      </c>
      <c r="K105" s="12"/>
    </row>
    <row r="107" spans="2:11" x14ac:dyDescent="0.3">
      <c r="B107" s="76" t="s">
        <v>306</v>
      </c>
      <c r="C107" s="76"/>
      <c r="D107" s="76"/>
      <c r="E107" s="76"/>
      <c r="F107" s="76"/>
      <c r="G107" s="76"/>
      <c r="H107" s="76"/>
    </row>
    <row r="108" spans="2:11" x14ac:dyDescent="0.3">
      <c r="B108" s="77" t="s">
        <v>255</v>
      </c>
      <c r="C108" s="77" t="s">
        <v>167</v>
      </c>
      <c r="D108" s="77" t="s">
        <v>307</v>
      </c>
      <c r="E108" s="77" t="s">
        <v>308</v>
      </c>
      <c r="F108" s="77" t="s">
        <v>309</v>
      </c>
      <c r="G108" s="77" t="s">
        <v>181</v>
      </c>
      <c r="H108" s="77" t="s">
        <v>310</v>
      </c>
    </row>
    <row r="109" spans="2:11" x14ac:dyDescent="0.3">
      <c r="B109" s="11">
        <v>1</v>
      </c>
      <c r="C109" s="11">
        <v>5</v>
      </c>
      <c r="D109" s="11">
        <v>5</v>
      </c>
      <c r="E109" s="11">
        <v>5</v>
      </c>
      <c r="F109" s="11">
        <v>5</v>
      </c>
      <c r="G109" s="11">
        <v>4</v>
      </c>
      <c r="H109" s="80">
        <f t="shared" ref="H109:H114" si="0">AVERAGE(C109:G109)</f>
        <v>4.8</v>
      </c>
    </row>
    <row r="110" spans="2:11" x14ac:dyDescent="0.3">
      <c r="B110" s="11">
        <v>2</v>
      </c>
      <c r="C110" s="11">
        <v>5</v>
      </c>
      <c r="D110" s="11">
        <v>5</v>
      </c>
      <c r="E110" s="11">
        <v>5</v>
      </c>
      <c r="F110" s="11">
        <v>5</v>
      </c>
      <c r="G110" s="11">
        <v>4</v>
      </c>
      <c r="H110" s="80">
        <f t="shared" si="0"/>
        <v>4.8</v>
      </c>
    </row>
    <row r="111" spans="2:11" x14ac:dyDescent="0.3">
      <c r="B111" s="11">
        <v>3</v>
      </c>
      <c r="C111" s="11">
        <v>5</v>
      </c>
      <c r="D111" s="11">
        <v>5</v>
      </c>
      <c r="E111" s="11">
        <v>5</v>
      </c>
      <c r="F111" s="11">
        <v>5</v>
      </c>
      <c r="G111" s="11">
        <v>3</v>
      </c>
      <c r="H111" s="80">
        <f t="shared" si="0"/>
        <v>4.5999999999999996</v>
      </c>
    </row>
    <row r="112" spans="2:11" x14ac:dyDescent="0.3">
      <c r="B112" s="11">
        <v>4</v>
      </c>
      <c r="C112" s="11">
        <v>4</v>
      </c>
      <c r="D112" s="11">
        <v>5</v>
      </c>
      <c r="E112" s="11">
        <v>4</v>
      </c>
      <c r="F112" s="11">
        <v>4</v>
      </c>
      <c r="G112" s="11">
        <v>3</v>
      </c>
      <c r="H112" s="80">
        <f t="shared" si="0"/>
        <v>4</v>
      </c>
    </row>
    <row r="113" spans="2:8" x14ac:dyDescent="0.3">
      <c r="B113" s="11">
        <v>5</v>
      </c>
      <c r="C113" s="11">
        <v>3</v>
      </c>
      <c r="D113" s="11">
        <v>5</v>
      </c>
      <c r="E113" s="11">
        <v>3</v>
      </c>
      <c r="F113" s="11">
        <v>3</v>
      </c>
      <c r="G113" s="11">
        <v>4</v>
      </c>
      <c r="H113" s="80">
        <f t="shared" si="0"/>
        <v>3.6</v>
      </c>
    </row>
    <row r="114" spans="2:8" x14ac:dyDescent="0.3">
      <c r="B114" s="11">
        <v>6</v>
      </c>
      <c r="C114" s="11">
        <v>2</v>
      </c>
      <c r="D114" s="11">
        <v>5</v>
      </c>
      <c r="E114" s="11">
        <v>3</v>
      </c>
      <c r="F114" s="11">
        <v>2</v>
      </c>
      <c r="G114" s="11">
        <v>3</v>
      </c>
      <c r="H114" s="80">
        <f t="shared" si="0"/>
        <v>3</v>
      </c>
    </row>
  </sheetData>
  <mergeCells count="9">
    <mergeCell ref="B91:J91"/>
    <mergeCell ref="B100:J100"/>
    <mergeCell ref="B107:H107"/>
    <mergeCell ref="B1:C1"/>
    <mergeCell ref="B10:C10"/>
    <mergeCell ref="B18:D18"/>
    <mergeCell ref="B28:C28"/>
    <mergeCell ref="B41:C41"/>
    <mergeCell ref="B64:J6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Master Directory</vt:lpstr>
      <vt:lpstr>FIB-001</vt:lpstr>
      <vt:lpstr>FIB-002</vt:lpstr>
      <vt:lpstr>FIB-003</vt:lpstr>
      <vt:lpstr>FIB-004</vt:lpstr>
      <vt:lpstr>FIB-005</vt:lpstr>
      <vt:lpstr>FIB-006</vt:lpstr>
      <vt:lpstr>FIB-007</vt:lpstr>
      <vt:lpstr>FIB-008</vt:lpstr>
      <vt:lpstr>FIB-009</vt:lpstr>
      <vt:lpstr>FIB-010</vt:lpstr>
      <vt:lpstr>FIB-011</vt:lpstr>
      <vt:lpstr>FIB-012</vt:lpstr>
      <vt:lpstr>FIB-013</vt:lpstr>
      <vt:lpstr>FIB-014</vt:lpstr>
      <vt:lpstr>FIB-015</vt:lpstr>
      <vt:lpstr>FIB-016</vt:lpstr>
      <vt:lpstr>FIB-017</vt:lpstr>
      <vt:lpstr>FIB-018</vt:lpstr>
      <vt:lpstr>FIB-019</vt:lpstr>
      <vt:lpstr>FIB-020</vt:lpstr>
      <vt:lpstr>FIB-021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Vedang Balkrishna Karkare</dc:creator>
  <dc:description/>
  <cp:lastModifiedBy>keerthana murthy</cp:lastModifiedBy>
  <cp:revision>0</cp:revision>
  <dcterms:created xsi:type="dcterms:W3CDTF">2026-08-04T21:15:44Z</dcterms:created>
  <dcterms:modified xsi:type="dcterms:W3CDTF">2026-08-23T23:24:15Z</dcterms:modified>
  <dc:language>en-US</dc:language>
</cp:coreProperties>
</file>